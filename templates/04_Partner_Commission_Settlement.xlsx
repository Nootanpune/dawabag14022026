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Settlement_Register" sheetId="1" state="visible" r:id="rId3"/>
    <sheet name="2_Commission_Rate_Master" sheetId="2" state="visible" r:id="rId4"/>
    <sheet name="3_Order_Settlement_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<sst xmlns="http://schemas.openxmlformats.org/spreadsheetml/2006/main" count="290" uniqueCount="201">
  <si>
    <t xml:space="preserve">  DAWABAG — PARTNER SETTLEMENT REGISTER</t>
  </si>
  <si>
    <t xml:space="preserve">  Monthly settlement statement. One row per partner per settlement period. All commission deductions and net payout recorded here.</t>
  </si>
  <si>
    <t xml:space="preserve">  * = Mandatory  |  Do NOT change column headings  |  Fill completely before submitting</t>
  </si>
  <si>
    <t xml:space="preserve">  Submitted by: _______________   Date: 29 Mar 2026</t>
  </si>
  <si>
    <t xml:space="preserve">* Settlement ID</t>
  </si>
  <si>
    <t xml:space="preserve">* Partner Name</t>
  </si>
  <si>
    <t xml:space="preserve">* Partner GSTIN</t>
  </si>
  <si>
    <t xml:space="preserve">* Period From</t>
  </si>
  <si>
    <t xml:space="preserve">* Period To</t>
  </si>
  <si>
    <t xml:space="preserve">* Total Orders Fulfilled</t>
  </si>
  <si>
    <t xml:space="preserve">* Gross Customer Sale Value Rs</t>
  </si>
  <si>
    <t xml:space="preserve">* Partner Invoice No</t>
  </si>
  <si>
    <t xml:space="preserve">* Partner Invoice Date</t>
  </si>
  <si>
    <t xml:space="preserve">* Partner Invoice Amount Rs</t>
  </si>
  <si>
    <t xml:space="preserve">* Commission Rate percent</t>
  </si>
  <si>
    <t xml:space="preserve">* Commission Amount Rs</t>
  </si>
  <si>
    <t xml:space="preserve">* Finding Fee per Order Rs</t>
  </si>
  <si>
    <t xml:space="preserve">* Total Finding Fee Rs</t>
  </si>
  <si>
    <t xml:space="preserve">Return Deductions Rs</t>
  </si>
  <si>
    <t xml:space="preserve">Late Dispatch Penalty Rs</t>
  </si>
  <si>
    <t xml:space="preserve">Other Deductions Rs</t>
  </si>
  <si>
    <t xml:space="preserve">* Net Payable to Partner Rs</t>
  </si>
  <si>
    <t xml:space="preserve">* Payment Mode</t>
  </si>
  <si>
    <t xml:space="preserve">* UTR Transaction Ref</t>
  </si>
  <si>
    <t xml:space="preserve">* Payment Date</t>
  </si>
  <si>
    <t xml:space="preserve">Remarks</t>
  </si>
  <si>
    <t xml:space="preserve">e.g. SETL-2025-02-001</t>
  </si>
  <si>
    <t xml:space="preserve">Full partner name</t>
  </si>
  <si>
    <t xml:space="preserve">15-digit GSTIN</t>
  </si>
  <si>
    <t xml:space="preserve">DD/MM/YYYY start</t>
  </si>
  <si>
    <t xml:space="preserve">DD/MM/YYYY end</t>
  </si>
  <si>
    <t xml:space="preserve">Count of delivered orders</t>
  </si>
  <si>
    <t xml:space="preserve">Sum of all Dawabag selling prices</t>
  </si>
  <si>
    <t xml:space="preserve">Partners B2B invoice number to Dawabag</t>
  </si>
  <si>
    <t xml:space="preserve">DD/MM/YYYY of partners invoice</t>
  </si>
  <si>
    <t xml:space="preserve">Amount on partners invoice</t>
  </si>
  <si>
    <t xml:space="preserve">Agreed percent e.g. 8</t>
  </si>
  <si>
    <t xml:space="preserve">Auto = Commission percent x Partner Invoice / 100</t>
  </si>
  <si>
    <t xml:space="preserve">Agreed flat Rs per order</t>
  </si>
  <si>
    <t xml:space="preserve">Auto = Finding Fee x Total Orders</t>
  </si>
  <si>
    <t xml:space="preserve">For returned orders</t>
  </si>
  <si>
    <t xml:space="preserve">For late dispatches</t>
  </si>
  <si>
    <t xml:space="preserve">Any other deductions</t>
  </si>
  <si>
    <t xml:space="preserve">Auto = Partner Invoice minus Commission minus Finding Fee minus all deductions</t>
  </si>
  <si>
    <t xml:space="preserve">NEFT or RTGS or UPI</t>
  </si>
  <si>
    <t xml:space="preserve">Bank transaction reference</t>
  </si>
  <si>
    <t xml:space="preserve">DD/MM/YYYY payment sent</t>
  </si>
  <si>
    <t xml:space="preserve">Notes</t>
  </si>
  <si>
    <t xml:space="preserve">SETL-2025-01-001</t>
  </si>
  <si>
    <t xml:space="preserve">Nashik Medical Store</t>
  </si>
  <si>
    <t xml:space="preserve">27AABCS1234M1Z5</t>
  </si>
  <si>
    <t xml:space="preserve">01/01/2025</t>
  </si>
  <si>
    <t xml:space="preserve">31/01/2025</t>
  </si>
  <si>
    <t xml:space="preserve">NMS-INV-2025-001</t>
  </si>
  <si>
    <t xml:space="preserve">05/02/2025</t>
  </si>
  <si>
    <t xml:space="preserve">15</t>
  </si>
  <si>
    <t xml:space="preserve">NEFT</t>
  </si>
  <si>
    <t xml:space="preserve">TXN20250205NMS001</t>
  </si>
  <si>
    <t xml:space="preserve">January settlement on time</t>
  </si>
  <si>
    <t xml:space="preserve">SETL-2025-01-002</t>
  </si>
  <si>
    <t xml:space="preserve">Apollo Pharmacy Nashik</t>
  </si>
  <si>
    <t xml:space="preserve">27AADCS4321P1Z3</t>
  </si>
  <si>
    <t xml:space="preserve">APN-INV-2025-001</t>
  </si>
  <si>
    <t xml:space="preserve">TXN20250205APN001</t>
  </si>
  <si>
    <t xml:space="preserve">Rs.2000 return deduction 2 orders returned</t>
  </si>
  <si>
    <t xml:space="preserve">SETL-2025-01-003</t>
  </si>
  <si>
    <t xml:space="preserve">Sunrise Pharma Dist</t>
  </si>
  <si>
    <t xml:space="preserve">27AABSS4321P1Z3</t>
  </si>
  <si>
    <t xml:space="preserve">SPD-INV-2025-001</t>
  </si>
  <si>
    <t xml:space="preserve">25</t>
  </si>
  <si>
    <t xml:space="preserve">RTGS</t>
  </si>
  <si>
    <t xml:space="preserve">TXN20250205SPD001</t>
  </si>
  <si>
    <t xml:space="preserve">Rs.500 late penalty 5 orders late</t>
  </si>
  <si>
    <t xml:space="preserve">SETL-2025-01-004</t>
  </si>
  <si>
    <t xml:space="preserve">City Hospital Pharmacy</t>
  </si>
  <si>
    <t xml:space="preserve">27AACCS9876N1Z2</t>
  </si>
  <si>
    <t xml:space="preserve">CHP-INV-2025-001</t>
  </si>
  <si>
    <t xml:space="preserve">TXN20250205CHP001</t>
  </si>
  <si>
    <t xml:space="preserve">Hospital pharmacy cold chain partner</t>
  </si>
  <si>
    <t xml:space="preserve">PERIOD TOTALS</t>
  </si>
  <si>
    <t xml:space="preserve">  DAWABAG — PARTNER COMMISSION RATE MASTER</t>
  </si>
  <si>
    <t xml:space="preserve">  Agreed commission rates and settlement terms for each marketplace partner. One row per partner. Based on signed partner agreement.</t>
  </si>
  <si>
    <t xml:space="preserve">* Partner Type</t>
  </si>
  <si>
    <t xml:space="preserve">* Finding Fee Rs per order</t>
  </si>
  <si>
    <t xml:space="preserve">* Settlement Cycle</t>
  </si>
  <si>
    <t xml:space="preserve">* Agreement Start Date</t>
  </si>
  <si>
    <t xml:space="preserve">* Review Date</t>
  </si>
  <si>
    <t xml:space="preserve">Performance Bonus Rate percent</t>
  </si>
  <si>
    <t xml:space="preserve">Bonus Target orders per month</t>
  </si>
  <si>
    <t xml:space="preserve">Late Penalty Rs per day</t>
  </si>
  <si>
    <t xml:space="preserve">Return Policy</t>
  </si>
  <si>
    <t xml:space="preserve">* Bank Name</t>
  </si>
  <si>
    <t xml:space="preserve">* Account Number</t>
  </si>
  <si>
    <t xml:space="preserve">* IFSC Code</t>
  </si>
  <si>
    <t xml:space="preserve">* Account Holder Name</t>
  </si>
  <si>
    <t xml:space="preserve">Partner Status</t>
  </si>
  <si>
    <t xml:space="preserve">Full legal name</t>
  </si>
  <si>
    <t xml:space="preserve">Retailer or Wholesaler</t>
  </si>
  <si>
    <t xml:space="preserve">e.g. 8 percent</t>
  </si>
  <si>
    <t xml:space="preserve">e.g. Rs.15 flat per order</t>
  </si>
  <si>
    <t xml:space="preserve">T+7 or T+14 days after delivery confirmed</t>
  </si>
  <si>
    <t xml:space="preserve">DD/MM/YYYY next review</t>
  </si>
  <si>
    <t xml:space="preserve">e.g. 2 percent extra</t>
  </si>
  <si>
    <t xml:space="preserve">Min orders for bonus</t>
  </si>
  <si>
    <t xml:space="preserve">Rs per day per late order</t>
  </si>
  <si>
    <t xml:space="preserve">Full refund or 50 percent or None</t>
  </si>
  <si>
    <t xml:space="preserve">Bank name</t>
  </si>
  <si>
    <t xml:space="preserve">Account number</t>
  </si>
  <si>
    <t xml:space="preserve">11-char IFSC</t>
  </si>
  <si>
    <t xml:space="preserve">Name as in bank</t>
  </si>
  <si>
    <t xml:space="preserve">Active or Suspended or Terminated</t>
  </si>
  <si>
    <t xml:space="preserve">Retailer</t>
  </si>
  <si>
    <t xml:space="preserve">T+7</t>
  </si>
  <si>
    <t xml:space="preserve">01/02/2025</t>
  </si>
  <si>
    <t xml:space="preserve">31/01/2026</t>
  </si>
  <si>
    <t xml:space="preserve">Full refund within 7 days</t>
  </si>
  <si>
    <t xml:space="preserve">HDFC Bank</t>
  </si>
  <si>
    <t xml:space="preserve">50100123456789</t>
  </si>
  <si>
    <t xml:space="preserve">HDFC0001234</t>
  </si>
  <si>
    <t xml:space="preserve">Ramesh Kulkarni</t>
  </si>
  <si>
    <t xml:space="preserve">Active</t>
  </si>
  <si>
    <t xml:space="preserve">Founding beta partner</t>
  </si>
  <si>
    <t xml:space="preserve">ICICI Bank</t>
  </si>
  <si>
    <t xml:space="preserve">123456789012</t>
  </si>
  <si>
    <t xml:space="preserve">ICIC0004567</t>
  </si>
  <si>
    <t xml:space="preserve">Apollo Pharmacy</t>
  </si>
  <si>
    <t xml:space="preserve">Chain pharmacy high volume</t>
  </si>
  <si>
    <t xml:space="preserve">Wholesaler</t>
  </si>
  <si>
    <t xml:space="preserve">T+14</t>
  </si>
  <si>
    <t xml:space="preserve">50 percent refund</t>
  </si>
  <si>
    <t xml:space="preserve">50100999888777</t>
  </si>
  <si>
    <t xml:space="preserve">HDFC0009876</t>
  </si>
  <si>
    <t xml:space="preserve">Sunrise Pharma</t>
  </si>
  <si>
    <t xml:space="preserve">Wholesale partner carton quantities</t>
  </si>
  <si>
    <t xml:space="preserve">15/02/2025</t>
  </si>
  <si>
    <t xml:space="preserve">14/02/2026</t>
  </si>
  <si>
    <t xml:space="preserve">Full refund within 5 days</t>
  </si>
  <si>
    <t xml:space="preserve">SBI</t>
  </si>
  <si>
    <t xml:space="preserve">12345678901234</t>
  </si>
  <si>
    <t xml:space="preserve">SBIN0000123</t>
  </si>
  <si>
    <t xml:space="preserve">City Hospital</t>
  </si>
  <si>
    <t xml:space="preserve">Hospital pharmacy cold chain capable</t>
  </si>
  <si>
    <t xml:space="preserve">  DAWABAG — ORDER-WISE SETTLEMENT DETAIL</t>
  </si>
  <si>
    <t xml:space="preserve">  One row per order per partner. Auto-calculates commission and net payout. Used to compile the monthly Settlement Register in Sheet 1.</t>
  </si>
  <si>
    <t xml:space="preserve">* Settlement Batch Ref</t>
  </si>
  <si>
    <t xml:space="preserve">* Dawabag Order No</t>
  </si>
  <si>
    <t xml:space="preserve">* Order Date</t>
  </si>
  <si>
    <t xml:space="preserve">* Dispatch Date</t>
  </si>
  <si>
    <t xml:space="preserve">* Delivery Confirmed Date</t>
  </si>
  <si>
    <t xml:space="preserve">* Products Supplied</t>
  </si>
  <si>
    <t xml:space="preserve">* Customer Sale Price Rs</t>
  </si>
  <si>
    <t xml:space="preserve">* Partner Supply Price Rs</t>
  </si>
  <si>
    <t xml:space="preserve">* Finding Fee Rs</t>
  </si>
  <si>
    <t xml:space="preserve">Return YES NO</t>
  </si>
  <si>
    <t xml:space="preserve">Return Deduction Rs</t>
  </si>
  <si>
    <t xml:space="preserve">Late Dispatch YES NO</t>
  </si>
  <si>
    <t xml:space="preserve">Late Penalty Rs</t>
  </si>
  <si>
    <t xml:space="preserve">Settlement Status</t>
  </si>
  <si>
    <t xml:space="preserve">Link to Sheet 1 batch</t>
  </si>
  <si>
    <t xml:space="preserve">Dawabag order number</t>
  </si>
  <si>
    <t xml:space="preserve">Partner name</t>
  </si>
  <si>
    <t xml:space="preserve">DD/MM/YYYY</t>
  </si>
  <si>
    <t xml:space="preserve">DD/MM/YYYY partner dispatched</t>
  </si>
  <si>
    <t xml:space="preserve">DD/MM/YYYY customer received</t>
  </si>
  <si>
    <t xml:space="preserve">Brief product list</t>
  </si>
  <si>
    <t xml:space="preserve">What customer paid</t>
  </si>
  <si>
    <t xml:space="preserve">What partner charges Dawabag</t>
  </si>
  <si>
    <t xml:space="preserve">From Commission Master</t>
  </si>
  <si>
    <t xml:space="preserve">Auto = Commission percent x Supply Price / 100</t>
  </si>
  <si>
    <t xml:space="preserve">From Commission Master flat</t>
  </si>
  <si>
    <t xml:space="preserve">YES or NO</t>
  </si>
  <si>
    <t xml:space="preserve">Amount if return</t>
  </si>
  <si>
    <t xml:space="preserve">Rs per day x days late</t>
  </si>
  <si>
    <t xml:space="preserve">Auto = Supply Price minus Commission minus Finding Fee minus Returns minus Penalty</t>
  </si>
  <si>
    <t xml:space="preserve">Pending or Settled or Disputed</t>
  </si>
  <si>
    <t xml:space="preserve">DWB-2025-00847</t>
  </si>
  <si>
    <t xml:space="preserve">29/01/2025</t>
  </si>
  <si>
    <t xml:space="preserve">30/01/2025</t>
  </si>
  <si>
    <t xml:space="preserve">02/02/2025</t>
  </si>
  <si>
    <t xml:space="preserve">Metformin 500mg x 5 strips</t>
  </si>
  <si>
    <t xml:space="preserve">NO</t>
  </si>
  <si>
    <t xml:space="preserve">Settled</t>
  </si>
  <si>
    <t xml:space="preserve">DWB-2025-00791</t>
  </si>
  <si>
    <t xml:space="preserve">14/01/2025</t>
  </si>
  <si>
    <t xml:space="preserve">15/01/2025</t>
  </si>
  <si>
    <t xml:space="preserve">18/01/2025</t>
  </si>
  <si>
    <t xml:space="preserve">Insulin Glargine x 2 vials</t>
  </si>
  <si>
    <t xml:space="preserve">Cold chain verified 2-8 deg</t>
  </si>
  <si>
    <t xml:space="preserve">DWB-2025-00849</t>
  </si>
  <si>
    <t xml:space="preserve">03/02/2025</t>
  </si>
  <si>
    <t xml:space="preserve">Atorvastatin 10mg x 3 strips</t>
  </si>
  <si>
    <t xml:space="preserve">YES</t>
  </si>
  <si>
    <t xml:space="preserve">Return patient cancelled full refund</t>
  </si>
  <si>
    <t xml:space="preserve">DWB-2025-00851</t>
  </si>
  <si>
    <t xml:space="preserve">06/02/2025</t>
  </si>
  <si>
    <t xml:space="preserve">Paracetamol 500mg x 10 strips</t>
  </si>
  <si>
    <t xml:space="preserve">Late dispatch 2 days at Rs.50 per day</t>
  </si>
  <si>
    <t xml:space="preserve">DWB-2025-00853</t>
  </si>
  <si>
    <t xml:space="preserve">04/02/2025</t>
  </si>
  <si>
    <t xml:space="preserve">Metformin 500mg x 10 strips + Atorvastatin x 2</t>
  </si>
  <si>
    <t xml:space="preserve">Combined 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</si>
</sst>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1"/>
      <name val="Arial"/>
      <family val="0"/>
      <charset val="1"/>
    </font>
    <font>
      <b val="true"/>
      <sz val="9"/>
      <color rgb="FF856404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126840"/>
      <name val="Arial"/>
      <family val="0"/>
      <charset val="1"/>
    </font>
    <font>
      <b val="true"/>
      <sz val="11"/>
      <color rgb="FF1A8856"/>
      <name val="Arial"/>
      <family val="0"/>
      <charset val="1"/>
    </font>
    <font>
      <b val="true"/>
      <sz val="10"/>
      <color rgb="FF1A885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8856"/>
        <bgColor rgb="FF008080"/>
      </patternFill>
    </fill>
    <fill>
      <patternFill patternType="solid">
        <fgColor rgb="FFEDFAF4"/>
        <bgColor rgb="FFF0FAF5"/>
      </patternFill>
    </fill>
    <fill>
      <patternFill patternType="solid">
        <fgColor rgb="FFFFF3CD"/>
        <bgColor rgb="FFF0FAF5"/>
      </patternFill>
    </fill>
    <fill>
      <patternFill patternType="solid">
        <fgColor rgb="FFFFFFFF"/>
        <bgColor rgb="FFF0FAF5"/>
      </patternFill>
    </fill>
    <fill>
      <patternFill patternType="solid">
        <fgColor rgb="FFF0FAF5"/>
        <bgColor rgb="FFEDFA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6840"/>
      <rgbColor rgb="FF000080"/>
      <rgbColor rgb="FF856404"/>
      <rgbColor rgb="FF800080"/>
      <rgbColor rgb="FF008080"/>
      <rgbColor rgb="FFCCCCCC"/>
      <rgbColor rgb="FF888780"/>
      <rgbColor rgb="FF9999FF"/>
      <rgbColor rgb="FF993366"/>
      <rgbColor rgb="FFFFF3CD"/>
      <rgbColor rgb="FFEDF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A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5F5E5A"/>
      <rgbColor rgb="FF969696"/>
      <rgbColor rgb="FF003366"/>
      <rgbColor rgb="FF1A8856"/>
      <rgbColor rgb="FF003300"/>
      <rgbColor rgb="FF333300"/>
      <rgbColor rgb="FF993300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5" min="4" style="1" width="22"/>
    <col collapsed="false" customWidth="true" hidden="false" outlineLevel="0" max="6" min="6" style="1" width="20"/>
    <col collapsed="false" customWidth="true" hidden="false" outlineLevel="0" max="7" min="7" style="1" width="26"/>
    <col collapsed="false" customWidth="true" hidden="false" outlineLevel="0" max="8" min="8" style="1" width="24"/>
    <col collapsed="false" customWidth="true" hidden="false" outlineLevel="0" max="9" min="9" style="1" width="20"/>
    <col collapsed="false" customWidth="true" hidden="false" outlineLevel="0" max="10" min="10" style="1" width="26"/>
    <col collapsed="false" customWidth="true" hidden="false" outlineLevel="0" max="11" min="11" style="1" width="18"/>
    <col collapsed="false" customWidth="true" hidden="false" outlineLevel="0" max="12" min="12" style="1" width="22"/>
    <col collapsed="false" customWidth="true" hidden="false" outlineLevel="0" max="13" min="13" style="1" width="24"/>
    <col collapsed="false" customWidth="true" hidden="false" outlineLevel="0" max="15" min="14" style="1" width="20"/>
    <col collapsed="false" customWidth="true" hidden="false" outlineLevel="0" max="16" min="16" style="1" width="22"/>
    <col collapsed="false" customWidth="true" hidden="false" outlineLevel="0" max="17" min="17" style="1" width="18"/>
    <col collapsed="false" customWidth="true" hidden="false" outlineLevel="0" max="18" min="18" style="1" width="26"/>
    <col collapsed="false" customWidth="true" hidden="false" outlineLevel="0" max="19" min="19" style="1" width="16"/>
    <col collapsed="false" customWidth="true" hidden="false" outlineLevel="0" max="20" min="20" style="1" width="24"/>
    <col collapsed="false" customWidth="true" hidden="false" outlineLevel="0" max="21" min="21" style="1" width="18"/>
    <col collapsed="false" customWidth="true" hidden="false" outlineLevel="0" max="22" min="22" style="1" width="2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3.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33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7" t="s">
        <v>18</v>
      </c>
      <c r="P5" s="7" t="s">
        <v>19</v>
      </c>
      <c r="Q5" s="7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7" t="s">
        <v>25</v>
      </c>
    </row>
    <row r="6" customFormat="false" ht="18" hidden="false" customHeight="true" outlineLevel="0" collapsed="false">
      <c r="A6" s="8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</row>
    <row r="7" customFormat="false" ht="21.75" hidden="false" customHeight="true" outlineLevel="0" collapsed="false">
      <c r="A7" s="9" t="s">
        <v>48</v>
      </c>
      <c r="B7" s="9" t="s">
        <v>49</v>
      </c>
      <c r="C7" s="9" t="s">
        <v>50</v>
      </c>
      <c r="D7" s="9" t="s">
        <v>51</v>
      </c>
      <c r="E7" s="9" t="s">
        <v>52</v>
      </c>
      <c r="F7" s="9" t="n">
        <v>42</v>
      </c>
      <c r="G7" s="9" t="n">
        <v>185000</v>
      </c>
      <c r="H7" s="9" t="s">
        <v>53</v>
      </c>
      <c r="I7" s="9" t="s">
        <v>54</v>
      </c>
      <c r="J7" s="9" t="n">
        <v>162000</v>
      </c>
      <c r="K7" s="9" t="n">
        <v>8</v>
      </c>
      <c r="L7" s="10" t="n">
        <f aca="false">IFERROR(K7*J7/100,0)</f>
        <v>12960</v>
      </c>
      <c r="M7" s="9" t="s">
        <v>55</v>
      </c>
      <c r="N7" s="10" t="n">
        <f aca="false">IFERROR(M7*F7,0)</f>
        <v>630</v>
      </c>
      <c r="O7" s="9" t="n">
        <v>0</v>
      </c>
      <c r="P7" s="9" t="n">
        <v>0</v>
      </c>
      <c r="Q7" s="9" t="n">
        <v>0</v>
      </c>
      <c r="R7" s="11" t="n">
        <f aca="false">IFERROR(J7-L7-N7-O7-P7-Q7,0)</f>
        <v>148410</v>
      </c>
      <c r="S7" s="9" t="s">
        <v>56</v>
      </c>
      <c r="T7" s="9" t="s">
        <v>57</v>
      </c>
      <c r="U7" s="9" t="s">
        <v>54</v>
      </c>
      <c r="V7" s="9" t="s">
        <v>58</v>
      </c>
    </row>
    <row r="8" customFormat="false" ht="21.75" hidden="false" customHeight="true" outlineLevel="0" collapsed="false">
      <c r="A8" s="12" t="s">
        <v>59</v>
      </c>
      <c r="B8" s="12" t="s">
        <v>60</v>
      </c>
      <c r="C8" s="12" t="s">
        <v>61</v>
      </c>
      <c r="D8" s="12" t="s">
        <v>51</v>
      </c>
      <c r="E8" s="12" t="s">
        <v>52</v>
      </c>
      <c r="F8" s="12" t="n">
        <v>18</v>
      </c>
      <c r="G8" s="12" t="n">
        <v>96000</v>
      </c>
      <c r="H8" s="12" t="s">
        <v>62</v>
      </c>
      <c r="I8" s="12" t="s">
        <v>54</v>
      </c>
      <c r="J8" s="12" t="n">
        <v>84000</v>
      </c>
      <c r="K8" s="12" t="n">
        <v>8</v>
      </c>
      <c r="L8" s="13" t="n">
        <f aca="false">IFERROR(K8*J8/100,0)</f>
        <v>6720</v>
      </c>
      <c r="M8" s="12" t="s">
        <v>55</v>
      </c>
      <c r="N8" s="13" t="n">
        <f aca="false">IFERROR(M8*F8,0)</f>
        <v>270</v>
      </c>
      <c r="O8" s="12" t="n">
        <v>2000</v>
      </c>
      <c r="P8" s="12" t="n">
        <v>0</v>
      </c>
      <c r="Q8" s="12" t="n">
        <v>0</v>
      </c>
      <c r="R8" s="14" t="n">
        <f aca="false">IFERROR(J8-L8-N8-O8-P8-Q8,0)</f>
        <v>75010</v>
      </c>
      <c r="S8" s="12" t="s">
        <v>56</v>
      </c>
      <c r="T8" s="12" t="s">
        <v>63</v>
      </c>
      <c r="U8" s="12" t="s">
        <v>54</v>
      </c>
      <c r="V8" s="12" t="s">
        <v>64</v>
      </c>
    </row>
    <row r="9" customFormat="false" ht="21.75" hidden="false" customHeight="true" outlineLevel="0" collapsed="false">
      <c r="A9" s="9" t="s">
        <v>65</v>
      </c>
      <c r="B9" s="9" t="s">
        <v>66</v>
      </c>
      <c r="C9" s="9" t="s">
        <v>67</v>
      </c>
      <c r="D9" s="9" t="s">
        <v>51</v>
      </c>
      <c r="E9" s="9" t="s">
        <v>52</v>
      </c>
      <c r="F9" s="9" t="n">
        <v>86</v>
      </c>
      <c r="G9" s="9" t="n">
        <v>420000</v>
      </c>
      <c r="H9" s="9" t="s">
        <v>68</v>
      </c>
      <c r="I9" s="9" t="s">
        <v>54</v>
      </c>
      <c r="J9" s="9" t="n">
        <v>378000</v>
      </c>
      <c r="K9" s="9" t="n">
        <v>6</v>
      </c>
      <c r="L9" s="10" t="n">
        <f aca="false">IFERROR(K9*J9/100,0)</f>
        <v>22680</v>
      </c>
      <c r="M9" s="9" t="s">
        <v>69</v>
      </c>
      <c r="N9" s="10" t="n">
        <f aca="false">IFERROR(M9*F9,0)</f>
        <v>2150</v>
      </c>
      <c r="O9" s="9" t="n">
        <v>0</v>
      </c>
      <c r="P9" s="9" t="n">
        <v>500</v>
      </c>
      <c r="Q9" s="9" t="n">
        <v>0</v>
      </c>
      <c r="R9" s="11" t="n">
        <f aca="false">IFERROR(J9-L9-N9-O9-P9-Q9,0)</f>
        <v>352670</v>
      </c>
      <c r="S9" s="9" t="s">
        <v>70</v>
      </c>
      <c r="T9" s="9" t="s">
        <v>71</v>
      </c>
      <c r="U9" s="9" t="s">
        <v>54</v>
      </c>
      <c r="V9" s="9" t="s">
        <v>72</v>
      </c>
    </row>
    <row r="10" customFormat="false" ht="21.75" hidden="false" customHeight="true" outlineLevel="0" collapsed="false">
      <c r="A10" s="12" t="s">
        <v>73</v>
      </c>
      <c r="B10" s="12" t="s">
        <v>74</v>
      </c>
      <c r="C10" s="12" t="s">
        <v>75</v>
      </c>
      <c r="D10" s="12" t="s">
        <v>51</v>
      </c>
      <c r="E10" s="12" t="s">
        <v>52</v>
      </c>
      <c r="F10" s="12" t="n">
        <v>31</v>
      </c>
      <c r="G10" s="12" t="n">
        <v>148000</v>
      </c>
      <c r="H10" s="12" t="s">
        <v>76</v>
      </c>
      <c r="I10" s="12" t="s">
        <v>54</v>
      </c>
      <c r="J10" s="12" t="n">
        <v>130000</v>
      </c>
      <c r="K10" s="12" t="n">
        <v>7</v>
      </c>
      <c r="L10" s="13" t="n">
        <f aca="false">IFERROR(K10*J10/100,0)</f>
        <v>9100</v>
      </c>
      <c r="M10" s="12" t="s">
        <v>55</v>
      </c>
      <c r="N10" s="13" t="n">
        <f aca="false">IFERROR(M10*F10,0)</f>
        <v>465</v>
      </c>
      <c r="O10" s="12" t="n">
        <v>0</v>
      </c>
      <c r="P10" s="12" t="n">
        <v>0</v>
      </c>
      <c r="Q10" s="12" t="n">
        <v>0</v>
      </c>
      <c r="R10" s="14" t="n">
        <f aca="false">IFERROR(J10-L10-N10-O10-P10-Q10,0)</f>
        <v>120435</v>
      </c>
      <c r="S10" s="12" t="s">
        <v>56</v>
      </c>
      <c r="T10" s="12" t="s">
        <v>77</v>
      </c>
      <c r="U10" s="12" t="s">
        <v>54</v>
      </c>
      <c r="V10" s="12" t="s">
        <v>78</v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0" t="n">
        <f aca="false">IFERROR(K11*J11/100,0)</f>
        <v>0</v>
      </c>
      <c r="M11" s="9"/>
      <c r="N11" s="10" t="n">
        <f aca="false">IFERROR(M11*F11,0)</f>
        <v>0</v>
      </c>
      <c r="O11" s="9"/>
      <c r="P11" s="9"/>
      <c r="Q11" s="9"/>
      <c r="R11" s="15" t="n">
        <f aca="false">IFERROR(J11-L11-N11-O11-P11-Q11,0)</f>
        <v>0</v>
      </c>
      <c r="S11" s="9"/>
      <c r="T11" s="9"/>
      <c r="U11" s="9"/>
      <c r="V11" s="9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 t="n">
        <f aca="false">IFERROR(K12*J12/100,0)</f>
        <v>0</v>
      </c>
      <c r="M12" s="12"/>
      <c r="N12" s="13" t="n">
        <f aca="false">IFERROR(M12*F12,0)</f>
        <v>0</v>
      </c>
      <c r="O12" s="12"/>
      <c r="P12" s="12"/>
      <c r="Q12" s="12"/>
      <c r="R12" s="16" t="n">
        <f aca="false">IFERROR(J12-L12-N12-O12-P12-Q12,0)</f>
        <v>0</v>
      </c>
      <c r="S12" s="12"/>
      <c r="T12" s="12"/>
      <c r="U12" s="12"/>
      <c r="V12" s="12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0" t="n">
        <f aca="false">IFERROR(K13*J13/100,0)</f>
        <v>0</v>
      </c>
      <c r="M13" s="9"/>
      <c r="N13" s="10" t="n">
        <f aca="false">IFERROR(M13*F13,0)</f>
        <v>0</v>
      </c>
      <c r="O13" s="9"/>
      <c r="P13" s="9"/>
      <c r="Q13" s="9"/>
      <c r="R13" s="15" t="n">
        <f aca="false">IFERROR(J13-L13-N13-O13-P13-Q13,0)</f>
        <v>0</v>
      </c>
      <c r="S13" s="9"/>
      <c r="T13" s="9"/>
      <c r="U13" s="9"/>
      <c r="V13" s="9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3" t="n">
        <f aca="false">IFERROR(K14*J14/100,0)</f>
        <v>0</v>
      </c>
      <c r="M14" s="12"/>
      <c r="N14" s="13" t="n">
        <f aca="false">IFERROR(M14*F14,0)</f>
        <v>0</v>
      </c>
      <c r="O14" s="12"/>
      <c r="P14" s="12"/>
      <c r="Q14" s="12"/>
      <c r="R14" s="16" t="n">
        <f aca="false">IFERROR(J14-L14-N14-O14-P14-Q14,0)</f>
        <v>0</v>
      </c>
      <c r="S14" s="12"/>
      <c r="T14" s="12"/>
      <c r="U14" s="12"/>
      <c r="V14" s="12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0" t="n">
        <f aca="false">IFERROR(K15*J15/100,0)</f>
        <v>0</v>
      </c>
      <c r="M15" s="9"/>
      <c r="N15" s="10" t="n">
        <f aca="false">IFERROR(M15*F15,0)</f>
        <v>0</v>
      </c>
      <c r="O15" s="9"/>
      <c r="P15" s="9"/>
      <c r="Q15" s="9"/>
      <c r="R15" s="15" t="n">
        <f aca="false">IFERROR(J15-L15-N15-O15-P15-Q15,0)</f>
        <v>0</v>
      </c>
      <c r="S15" s="9"/>
      <c r="T15" s="9"/>
      <c r="U15" s="9"/>
      <c r="V15" s="9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3" t="n">
        <f aca="false">IFERROR(K16*J16/100,0)</f>
        <v>0</v>
      </c>
      <c r="M16" s="12"/>
      <c r="N16" s="13" t="n">
        <f aca="false">IFERROR(M16*F16,0)</f>
        <v>0</v>
      </c>
      <c r="O16" s="12"/>
      <c r="P16" s="12"/>
      <c r="Q16" s="12"/>
      <c r="R16" s="16" t="n">
        <f aca="false">IFERROR(J16-L16-N16-O16-P16-Q16,0)</f>
        <v>0</v>
      </c>
      <c r="S16" s="12"/>
      <c r="T16" s="12"/>
      <c r="U16" s="12"/>
      <c r="V16" s="12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0" t="n">
        <f aca="false">IFERROR(K17*J17/100,0)</f>
        <v>0</v>
      </c>
      <c r="M17" s="9"/>
      <c r="N17" s="10" t="n">
        <f aca="false">IFERROR(M17*F17,0)</f>
        <v>0</v>
      </c>
      <c r="O17" s="9"/>
      <c r="P17" s="9"/>
      <c r="Q17" s="9"/>
      <c r="R17" s="15" t="n">
        <f aca="false">IFERROR(J17-L17-N17-O17-P17-Q17,0)</f>
        <v>0</v>
      </c>
      <c r="S17" s="9"/>
      <c r="T17" s="9"/>
      <c r="U17" s="9"/>
      <c r="V17" s="9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3" t="n">
        <f aca="false">IFERROR(K18*J18/100,0)</f>
        <v>0</v>
      </c>
      <c r="M18" s="12"/>
      <c r="N18" s="13" t="n">
        <f aca="false">IFERROR(M18*F18,0)</f>
        <v>0</v>
      </c>
      <c r="O18" s="12"/>
      <c r="P18" s="12"/>
      <c r="Q18" s="12"/>
      <c r="R18" s="16" t="n">
        <f aca="false">IFERROR(J18-L18-N18-O18-P18-Q18,0)</f>
        <v>0</v>
      </c>
      <c r="S18" s="12"/>
      <c r="T18" s="12"/>
      <c r="U18" s="12"/>
      <c r="V18" s="12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n">
        <f aca="false">IFERROR(K19*J19/100,0)</f>
        <v>0</v>
      </c>
      <c r="M19" s="9"/>
      <c r="N19" s="10" t="n">
        <f aca="false">IFERROR(M19*F19,0)</f>
        <v>0</v>
      </c>
      <c r="O19" s="9"/>
      <c r="P19" s="9"/>
      <c r="Q19" s="9"/>
      <c r="R19" s="15" t="n">
        <f aca="false">IFERROR(J19-L19-N19-O19-P19-Q19,0)</f>
        <v>0</v>
      </c>
      <c r="S19" s="9"/>
      <c r="T19" s="9"/>
      <c r="U19" s="9"/>
      <c r="V19" s="9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3" t="n">
        <f aca="false">IFERROR(K20*J20/100,0)</f>
        <v>0</v>
      </c>
      <c r="M20" s="12"/>
      <c r="N20" s="13" t="n">
        <f aca="false">IFERROR(M20*F20,0)</f>
        <v>0</v>
      </c>
      <c r="O20" s="12"/>
      <c r="P20" s="12"/>
      <c r="Q20" s="12"/>
      <c r="R20" s="16" t="n">
        <f aca="false">IFERROR(J20-L20-N20-O20-P20-Q20,0)</f>
        <v>0</v>
      </c>
      <c r="S20" s="12"/>
      <c r="T20" s="12"/>
      <c r="U20" s="12"/>
      <c r="V20" s="12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0" t="n">
        <f aca="false">IFERROR(K21*J21/100,0)</f>
        <v>0</v>
      </c>
      <c r="M21" s="9"/>
      <c r="N21" s="10" t="n">
        <f aca="false">IFERROR(M21*F21,0)</f>
        <v>0</v>
      </c>
      <c r="O21" s="9"/>
      <c r="P21" s="9"/>
      <c r="Q21" s="9"/>
      <c r="R21" s="15" t="n">
        <f aca="false">IFERROR(J21-L21-N21-O21-P21-Q21,0)</f>
        <v>0</v>
      </c>
      <c r="S21" s="9"/>
      <c r="T21" s="9"/>
      <c r="U21" s="9"/>
      <c r="V21" s="9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 t="n">
        <f aca="false">IFERROR(K22*J22/100,0)</f>
        <v>0</v>
      </c>
      <c r="M22" s="12"/>
      <c r="N22" s="13" t="n">
        <f aca="false">IFERROR(M22*F22,0)</f>
        <v>0</v>
      </c>
      <c r="O22" s="12"/>
      <c r="P22" s="12"/>
      <c r="Q22" s="12"/>
      <c r="R22" s="16" t="n">
        <f aca="false">IFERROR(J22-L22-N22-O22-P22-Q22,0)</f>
        <v>0</v>
      </c>
      <c r="S22" s="12"/>
      <c r="T22" s="12"/>
      <c r="U22" s="12"/>
      <c r="V22" s="12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0" t="n">
        <f aca="false">IFERROR(K23*J23/100,0)</f>
        <v>0</v>
      </c>
      <c r="M23" s="9"/>
      <c r="N23" s="10" t="n">
        <f aca="false">IFERROR(M23*F23,0)</f>
        <v>0</v>
      </c>
      <c r="O23" s="9"/>
      <c r="P23" s="9"/>
      <c r="Q23" s="9"/>
      <c r="R23" s="15" t="n">
        <f aca="false">IFERROR(J23-L23-N23-O23-P23-Q23,0)</f>
        <v>0</v>
      </c>
      <c r="S23" s="9"/>
      <c r="T23" s="9"/>
      <c r="U23" s="9"/>
      <c r="V23" s="9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3" t="n">
        <f aca="false">IFERROR(K24*J24/100,0)</f>
        <v>0</v>
      </c>
      <c r="M24" s="12"/>
      <c r="N24" s="13" t="n">
        <f aca="false">IFERROR(M24*F24,0)</f>
        <v>0</v>
      </c>
      <c r="O24" s="12"/>
      <c r="P24" s="12"/>
      <c r="Q24" s="12"/>
      <c r="R24" s="16" t="n">
        <f aca="false">IFERROR(J24-L24-N24-O24-P24-Q24,0)</f>
        <v>0</v>
      </c>
      <c r="S24" s="12"/>
      <c r="T24" s="12"/>
      <c r="U24" s="12"/>
      <c r="V24" s="12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0" t="n">
        <f aca="false">IFERROR(K25*J25/100,0)</f>
        <v>0</v>
      </c>
      <c r="M25" s="9"/>
      <c r="N25" s="10" t="n">
        <f aca="false">IFERROR(M25*F25,0)</f>
        <v>0</v>
      </c>
      <c r="O25" s="9"/>
      <c r="P25" s="9"/>
      <c r="Q25" s="9"/>
      <c r="R25" s="15" t="n">
        <f aca="false">IFERROR(J25-L25-N25-O25-P25-Q25,0)</f>
        <v>0</v>
      </c>
      <c r="S25" s="9"/>
      <c r="T25" s="9"/>
      <c r="U25" s="9"/>
      <c r="V25" s="9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 t="n">
        <f aca="false">IFERROR(K26*J26/100,0)</f>
        <v>0</v>
      </c>
      <c r="M26" s="12"/>
      <c r="N26" s="13" t="n">
        <f aca="false">IFERROR(M26*F26,0)</f>
        <v>0</v>
      </c>
      <c r="O26" s="12"/>
      <c r="P26" s="12"/>
      <c r="Q26" s="12"/>
      <c r="R26" s="16" t="n">
        <f aca="false">IFERROR(J26-L26-N26-O26-P26-Q26,0)</f>
        <v>0</v>
      </c>
      <c r="S26" s="12"/>
      <c r="T26" s="12"/>
      <c r="U26" s="12"/>
      <c r="V26" s="12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0" t="n">
        <f aca="false">IFERROR(K27*J27/100,0)</f>
        <v>0</v>
      </c>
      <c r="M27" s="9"/>
      <c r="N27" s="10" t="n">
        <f aca="false">IFERROR(M27*F27,0)</f>
        <v>0</v>
      </c>
      <c r="O27" s="9"/>
      <c r="P27" s="9"/>
      <c r="Q27" s="9"/>
      <c r="R27" s="15" t="n">
        <f aca="false">IFERROR(J27-L27-N27-O27-P27-Q27,0)</f>
        <v>0</v>
      </c>
      <c r="S27" s="9"/>
      <c r="T27" s="9"/>
      <c r="U27" s="9"/>
      <c r="V27" s="9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 t="n">
        <f aca="false">IFERROR(K28*J28/100,0)</f>
        <v>0</v>
      </c>
      <c r="M28" s="12"/>
      <c r="N28" s="13" t="n">
        <f aca="false">IFERROR(M28*F28,0)</f>
        <v>0</v>
      </c>
      <c r="O28" s="12"/>
      <c r="P28" s="12"/>
      <c r="Q28" s="12"/>
      <c r="R28" s="16" t="n">
        <f aca="false">IFERROR(J28-L28-N28-O28-P28-Q28,0)</f>
        <v>0</v>
      </c>
      <c r="S28" s="12"/>
      <c r="T28" s="12"/>
      <c r="U28" s="12"/>
      <c r="V28" s="12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0" t="n">
        <f aca="false">IFERROR(K29*J29/100,0)</f>
        <v>0</v>
      </c>
      <c r="M29" s="9"/>
      <c r="N29" s="10" t="n">
        <f aca="false">IFERROR(M29*F29,0)</f>
        <v>0</v>
      </c>
      <c r="O29" s="9"/>
      <c r="P29" s="9"/>
      <c r="Q29" s="9"/>
      <c r="R29" s="15" t="n">
        <f aca="false">IFERROR(J29-L29-N29-O29-P29-Q29,0)</f>
        <v>0</v>
      </c>
      <c r="S29" s="9"/>
      <c r="T29" s="9"/>
      <c r="U29" s="9"/>
      <c r="V29" s="9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3" t="n">
        <f aca="false">IFERROR(K30*J30/100,0)</f>
        <v>0</v>
      </c>
      <c r="M30" s="12"/>
      <c r="N30" s="13" t="n">
        <f aca="false">IFERROR(M30*F30,0)</f>
        <v>0</v>
      </c>
      <c r="O30" s="12"/>
      <c r="P30" s="12"/>
      <c r="Q30" s="12"/>
      <c r="R30" s="16" t="n">
        <f aca="false">IFERROR(J30-L30-N30-O30-P30-Q30,0)</f>
        <v>0</v>
      </c>
      <c r="S30" s="12"/>
      <c r="T30" s="12"/>
      <c r="U30" s="12"/>
      <c r="V30" s="12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0" t="n">
        <f aca="false">IFERROR(K31*J31/100,0)</f>
        <v>0</v>
      </c>
      <c r="M31" s="9"/>
      <c r="N31" s="10" t="n">
        <f aca="false">IFERROR(M31*F31,0)</f>
        <v>0</v>
      </c>
      <c r="O31" s="9"/>
      <c r="P31" s="9"/>
      <c r="Q31" s="9"/>
      <c r="R31" s="15" t="n">
        <f aca="false">IFERROR(J31-L31-N31-O31-P31-Q31,0)</f>
        <v>0</v>
      </c>
      <c r="S31" s="9"/>
      <c r="T31" s="9"/>
      <c r="U31" s="9"/>
      <c r="V31" s="9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 t="n">
        <f aca="false">IFERROR(K32*J32/100,0)</f>
        <v>0</v>
      </c>
      <c r="M32" s="12"/>
      <c r="N32" s="13" t="n">
        <f aca="false">IFERROR(M32*F32,0)</f>
        <v>0</v>
      </c>
      <c r="O32" s="12"/>
      <c r="P32" s="12"/>
      <c r="Q32" s="12"/>
      <c r="R32" s="16" t="n">
        <f aca="false">IFERROR(J32-L32-N32-O32-P32-Q32,0)</f>
        <v>0</v>
      </c>
      <c r="S32" s="12"/>
      <c r="T32" s="12"/>
      <c r="U32" s="12"/>
      <c r="V32" s="12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0" t="n">
        <f aca="false">IFERROR(K33*J33/100,0)</f>
        <v>0</v>
      </c>
      <c r="M33" s="9"/>
      <c r="N33" s="10" t="n">
        <f aca="false">IFERROR(M33*F33,0)</f>
        <v>0</v>
      </c>
      <c r="O33" s="9"/>
      <c r="P33" s="9"/>
      <c r="Q33" s="9"/>
      <c r="R33" s="15" t="n">
        <f aca="false">IFERROR(J33-L33-N33-O33-P33-Q33,0)</f>
        <v>0</v>
      </c>
      <c r="S33" s="9"/>
      <c r="T33" s="9"/>
      <c r="U33" s="9"/>
      <c r="V33" s="9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 t="n">
        <f aca="false">IFERROR(K34*J34/100,0)</f>
        <v>0</v>
      </c>
      <c r="M34" s="12"/>
      <c r="N34" s="13" t="n">
        <f aca="false">IFERROR(M34*F34,0)</f>
        <v>0</v>
      </c>
      <c r="O34" s="12"/>
      <c r="P34" s="12"/>
      <c r="Q34" s="12"/>
      <c r="R34" s="16" t="n">
        <f aca="false">IFERROR(J34-L34-N34-O34-P34-Q34,0)</f>
        <v>0</v>
      </c>
      <c r="S34" s="12"/>
      <c r="T34" s="12"/>
      <c r="U34" s="12"/>
      <c r="V34" s="12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10" t="n">
        <f aca="false">IFERROR(K35*J35/100,0)</f>
        <v>0</v>
      </c>
      <c r="M35" s="9"/>
      <c r="N35" s="10" t="n">
        <f aca="false">IFERROR(M35*F35,0)</f>
        <v>0</v>
      </c>
      <c r="O35" s="9"/>
      <c r="P35" s="9"/>
      <c r="Q35" s="9"/>
      <c r="R35" s="15" t="n">
        <f aca="false">IFERROR(J35-L35-N35-O35-P35-Q35,0)</f>
        <v>0</v>
      </c>
      <c r="S35" s="9"/>
      <c r="T35" s="9"/>
      <c r="U35" s="9"/>
      <c r="V35" s="9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3" t="n">
        <f aca="false">IFERROR(K36*J36/100,0)</f>
        <v>0</v>
      </c>
      <c r="M36" s="12"/>
      <c r="N36" s="13" t="n">
        <f aca="false">IFERROR(M36*F36,0)</f>
        <v>0</v>
      </c>
      <c r="O36" s="12"/>
      <c r="P36" s="12"/>
      <c r="Q36" s="12"/>
      <c r="R36" s="16" t="n">
        <f aca="false">IFERROR(J36-L36-N36-O36-P36-Q36,0)</f>
        <v>0</v>
      </c>
      <c r="S36" s="12"/>
      <c r="T36" s="12"/>
      <c r="U36" s="12"/>
      <c r="V36" s="12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0" t="n">
        <f aca="false">IFERROR(K37*J37/100,0)</f>
        <v>0</v>
      </c>
      <c r="M37" s="9"/>
      <c r="N37" s="10" t="n">
        <f aca="false">IFERROR(M37*F37,0)</f>
        <v>0</v>
      </c>
      <c r="O37" s="9"/>
      <c r="P37" s="9"/>
      <c r="Q37" s="9"/>
      <c r="R37" s="15" t="n">
        <f aca="false">IFERROR(J37-L37-N37-O37-P37-Q37,0)</f>
        <v>0</v>
      </c>
      <c r="S37" s="9"/>
      <c r="T37" s="9"/>
      <c r="U37" s="9"/>
      <c r="V37" s="9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3" t="n">
        <f aca="false">IFERROR(K38*J38/100,0)</f>
        <v>0</v>
      </c>
      <c r="M38" s="12"/>
      <c r="N38" s="13" t="n">
        <f aca="false">IFERROR(M38*F38,0)</f>
        <v>0</v>
      </c>
      <c r="O38" s="12"/>
      <c r="P38" s="12"/>
      <c r="Q38" s="12"/>
      <c r="R38" s="16" t="n">
        <f aca="false">IFERROR(J38-L38-N38-O38-P38-Q38,0)</f>
        <v>0</v>
      </c>
      <c r="S38" s="12"/>
      <c r="T38" s="12"/>
      <c r="U38" s="12"/>
      <c r="V38" s="12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0" t="n">
        <f aca="false">IFERROR(K39*J39/100,0)</f>
        <v>0</v>
      </c>
      <c r="M39" s="9"/>
      <c r="N39" s="10" t="n">
        <f aca="false">IFERROR(M39*F39,0)</f>
        <v>0</v>
      </c>
      <c r="O39" s="9"/>
      <c r="P39" s="9"/>
      <c r="Q39" s="9"/>
      <c r="R39" s="15" t="n">
        <f aca="false">IFERROR(J39-L39-N39-O39-P39-Q39,0)</f>
        <v>0</v>
      </c>
      <c r="S39" s="9"/>
      <c r="T39" s="9"/>
      <c r="U39" s="9"/>
      <c r="V39" s="9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3" t="n">
        <f aca="false">IFERROR(K40*J40/100,0)</f>
        <v>0</v>
      </c>
      <c r="M40" s="12"/>
      <c r="N40" s="13" t="n">
        <f aca="false">IFERROR(M40*F40,0)</f>
        <v>0</v>
      </c>
      <c r="O40" s="12"/>
      <c r="P40" s="12"/>
      <c r="Q40" s="12"/>
      <c r="R40" s="16" t="n">
        <f aca="false">IFERROR(J40-L40-N40-O40-P40-Q40,0)</f>
        <v>0</v>
      </c>
      <c r="S40" s="12"/>
      <c r="T40" s="12"/>
      <c r="U40" s="12"/>
      <c r="V40" s="12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0" t="n">
        <f aca="false">IFERROR(K41*J41/100,0)</f>
        <v>0</v>
      </c>
      <c r="M41" s="9"/>
      <c r="N41" s="10" t="n">
        <f aca="false">IFERROR(M41*F41,0)</f>
        <v>0</v>
      </c>
      <c r="O41" s="9"/>
      <c r="P41" s="9"/>
      <c r="Q41" s="9"/>
      <c r="R41" s="15" t="n">
        <f aca="false">IFERROR(J41-L41-N41-O41-P41-Q41,0)</f>
        <v>0</v>
      </c>
      <c r="S41" s="9"/>
      <c r="T41" s="9"/>
      <c r="U41" s="9"/>
      <c r="V41" s="9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3" t="n">
        <f aca="false">IFERROR(K42*J42/100,0)</f>
        <v>0</v>
      </c>
      <c r="M42" s="12"/>
      <c r="N42" s="13" t="n">
        <f aca="false">IFERROR(M42*F42,0)</f>
        <v>0</v>
      </c>
      <c r="O42" s="12"/>
      <c r="P42" s="12"/>
      <c r="Q42" s="12"/>
      <c r="R42" s="16" t="n">
        <f aca="false">IFERROR(J42-L42-N42-O42-P42-Q42,0)</f>
        <v>0</v>
      </c>
      <c r="S42" s="12"/>
      <c r="T42" s="12"/>
      <c r="U42" s="12"/>
      <c r="V42" s="12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0" t="n">
        <f aca="false">IFERROR(K43*J43/100,0)</f>
        <v>0</v>
      </c>
      <c r="M43" s="9"/>
      <c r="N43" s="10" t="n">
        <f aca="false">IFERROR(M43*F43,0)</f>
        <v>0</v>
      </c>
      <c r="O43" s="9"/>
      <c r="P43" s="9"/>
      <c r="Q43" s="9"/>
      <c r="R43" s="15" t="n">
        <f aca="false">IFERROR(J43-L43-N43-O43-P43-Q43,0)</f>
        <v>0</v>
      </c>
      <c r="S43" s="9"/>
      <c r="T43" s="9"/>
      <c r="U43" s="9"/>
      <c r="V43" s="9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3" t="n">
        <f aca="false">IFERROR(K44*J44/100,0)</f>
        <v>0</v>
      </c>
      <c r="M44" s="12"/>
      <c r="N44" s="13" t="n">
        <f aca="false">IFERROR(M44*F44,0)</f>
        <v>0</v>
      </c>
      <c r="O44" s="12"/>
      <c r="P44" s="12"/>
      <c r="Q44" s="12"/>
      <c r="R44" s="16" t="n">
        <f aca="false">IFERROR(J44-L44-N44-O44-P44-Q44,0)</f>
        <v>0</v>
      </c>
      <c r="S44" s="12"/>
      <c r="T44" s="12"/>
      <c r="U44" s="12"/>
      <c r="V44" s="12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0" t="n">
        <f aca="false">IFERROR(K45*J45/100,0)</f>
        <v>0</v>
      </c>
      <c r="M45" s="9"/>
      <c r="N45" s="10" t="n">
        <f aca="false">IFERROR(M45*F45,0)</f>
        <v>0</v>
      </c>
      <c r="O45" s="9"/>
      <c r="P45" s="9"/>
      <c r="Q45" s="9"/>
      <c r="R45" s="15" t="n">
        <f aca="false">IFERROR(J45-L45-N45-O45-P45-Q45,0)</f>
        <v>0</v>
      </c>
      <c r="S45" s="9"/>
      <c r="T45" s="9"/>
      <c r="U45" s="9"/>
      <c r="V45" s="9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3" t="n">
        <f aca="false">IFERROR(K46*J46/100,0)</f>
        <v>0</v>
      </c>
      <c r="M46" s="12"/>
      <c r="N46" s="13" t="n">
        <f aca="false">IFERROR(M46*F46,0)</f>
        <v>0</v>
      </c>
      <c r="O46" s="12"/>
      <c r="P46" s="12"/>
      <c r="Q46" s="12"/>
      <c r="R46" s="16" t="n">
        <f aca="false">IFERROR(J46-L46-N46-O46-P46-Q46,0)</f>
        <v>0</v>
      </c>
      <c r="S46" s="12"/>
      <c r="T46" s="12"/>
      <c r="U46" s="12"/>
      <c r="V46" s="12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0" t="n">
        <f aca="false">IFERROR(K47*J47/100,0)</f>
        <v>0</v>
      </c>
      <c r="M47" s="9"/>
      <c r="N47" s="10" t="n">
        <f aca="false">IFERROR(M47*F47,0)</f>
        <v>0</v>
      </c>
      <c r="O47" s="9"/>
      <c r="P47" s="9"/>
      <c r="Q47" s="9"/>
      <c r="R47" s="15" t="n">
        <f aca="false">IFERROR(J47-L47-N47-O47-P47-Q47,0)</f>
        <v>0</v>
      </c>
      <c r="S47" s="9"/>
      <c r="T47" s="9"/>
      <c r="U47" s="9"/>
      <c r="V47" s="9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3" t="n">
        <f aca="false">IFERROR(K48*J48/100,0)</f>
        <v>0</v>
      </c>
      <c r="M48" s="12"/>
      <c r="N48" s="13" t="n">
        <f aca="false">IFERROR(M48*F48,0)</f>
        <v>0</v>
      </c>
      <c r="O48" s="12"/>
      <c r="P48" s="12"/>
      <c r="Q48" s="12"/>
      <c r="R48" s="16" t="n">
        <f aca="false">IFERROR(J48-L48-N48-O48-P48-Q48,0)</f>
        <v>0</v>
      </c>
      <c r="S48" s="12"/>
      <c r="T48" s="12"/>
      <c r="U48" s="12"/>
      <c r="V48" s="12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0" t="n">
        <f aca="false">IFERROR(K49*J49/100,0)</f>
        <v>0</v>
      </c>
      <c r="M49" s="9"/>
      <c r="N49" s="10" t="n">
        <f aca="false">IFERROR(M49*F49,0)</f>
        <v>0</v>
      </c>
      <c r="O49" s="9"/>
      <c r="P49" s="9"/>
      <c r="Q49" s="9"/>
      <c r="R49" s="15" t="n">
        <f aca="false">IFERROR(J49-L49-N49-O49-P49-Q49,0)</f>
        <v>0</v>
      </c>
      <c r="S49" s="9"/>
      <c r="T49" s="9"/>
      <c r="U49" s="9"/>
      <c r="V49" s="9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3" t="n">
        <f aca="false">IFERROR(K50*J50/100,0)</f>
        <v>0</v>
      </c>
      <c r="M50" s="12"/>
      <c r="N50" s="13" t="n">
        <f aca="false">IFERROR(M50*F50,0)</f>
        <v>0</v>
      </c>
      <c r="O50" s="12"/>
      <c r="P50" s="12"/>
      <c r="Q50" s="12"/>
      <c r="R50" s="16" t="n">
        <f aca="false">IFERROR(J50-L50-N50-O50-P50-Q50,0)</f>
        <v>0</v>
      </c>
      <c r="S50" s="12"/>
      <c r="T50" s="12"/>
      <c r="U50" s="12"/>
      <c r="V50" s="12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0" t="n">
        <f aca="false">IFERROR(K51*J51/100,0)</f>
        <v>0</v>
      </c>
      <c r="M51" s="9"/>
      <c r="N51" s="10" t="n">
        <f aca="false">IFERROR(M51*F51,0)</f>
        <v>0</v>
      </c>
      <c r="O51" s="9"/>
      <c r="P51" s="9"/>
      <c r="Q51" s="9"/>
      <c r="R51" s="15" t="n">
        <f aca="false">IFERROR(J51-L51-N51-O51-P51-Q51,0)</f>
        <v>0</v>
      </c>
      <c r="S51" s="9"/>
      <c r="T51" s="9"/>
      <c r="U51" s="9"/>
      <c r="V51" s="9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3" t="n">
        <f aca="false">IFERROR(K52*J52/100,0)</f>
        <v>0</v>
      </c>
      <c r="M52" s="12"/>
      <c r="N52" s="13" t="n">
        <f aca="false">IFERROR(M52*F52,0)</f>
        <v>0</v>
      </c>
      <c r="O52" s="12"/>
      <c r="P52" s="12"/>
      <c r="Q52" s="12"/>
      <c r="R52" s="16" t="n">
        <f aca="false">IFERROR(J52-L52-N52-O52-P52-Q52,0)</f>
        <v>0</v>
      </c>
      <c r="S52" s="12"/>
      <c r="T52" s="12"/>
      <c r="U52" s="12"/>
      <c r="V52" s="12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0" t="n">
        <f aca="false">IFERROR(K53*J53/100,0)</f>
        <v>0</v>
      </c>
      <c r="M53" s="9"/>
      <c r="N53" s="10" t="n">
        <f aca="false">IFERROR(M53*F53,0)</f>
        <v>0</v>
      </c>
      <c r="O53" s="9"/>
      <c r="P53" s="9"/>
      <c r="Q53" s="9"/>
      <c r="R53" s="15" t="n">
        <f aca="false">IFERROR(J53-L53-N53-O53-P53-Q53,0)</f>
        <v>0</v>
      </c>
      <c r="S53" s="9"/>
      <c r="T53" s="9"/>
      <c r="U53" s="9"/>
      <c r="V53" s="9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3" t="n">
        <f aca="false">IFERROR(K54*J54/100,0)</f>
        <v>0</v>
      </c>
      <c r="M54" s="12"/>
      <c r="N54" s="13" t="n">
        <f aca="false">IFERROR(M54*F54,0)</f>
        <v>0</v>
      </c>
      <c r="O54" s="12"/>
      <c r="P54" s="12"/>
      <c r="Q54" s="12"/>
      <c r="R54" s="16" t="n">
        <f aca="false">IFERROR(J54-L54-N54-O54-P54-Q54,0)</f>
        <v>0</v>
      </c>
      <c r="S54" s="12"/>
      <c r="T54" s="12"/>
      <c r="U54" s="12"/>
      <c r="V54" s="12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0" t="n">
        <f aca="false">IFERROR(K55*J55/100,0)</f>
        <v>0</v>
      </c>
      <c r="M55" s="9"/>
      <c r="N55" s="10" t="n">
        <f aca="false">IFERROR(M55*F55,0)</f>
        <v>0</v>
      </c>
      <c r="O55" s="9"/>
      <c r="P55" s="9"/>
      <c r="Q55" s="9"/>
      <c r="R55" s="15" t="n">
        <f aca="false">IFERROR(J55-L55-N55-O55-P55-Q55,0)</f>
        <v>0</v>
      </c>
      <c r="S55" s="9"/>
      <c r="T55" s="9"/>
      <c r="U55" s="9"/>
      <c r="V55" s="9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 t="n">
        <f aca="false">IFERROR(K56*J56/100,0)</f>
        <v>0</v>
      </c>
      <c r="M56" s="12"/>
      <c r="N56" s="13" t="n">
        <f aca="false">IFERROR(M56*F56,0)</f>
        <v>0</v>
      </c>
      <c r="O56" s="12"/>
      <c r="P56" s="12"/>
      <c r="Q56" s="12"/>
      <c r="R56" s="16" t="n">
        <f aca="false">IFERROR(J56-L56-N56-O56-P56-Q56,0)</f>
        <v>0</v>
      </c>
      <c r="S56" s="12"/>
      <c r="T56" s="12"/>
      <c r="U56" s="12"/>
      <c r="V56" s="12"/>
    </row>
    <row r="58" customFormat="false" ht="15" hidden="false" customHeight="false" outlineLevel="0" collapsed="false">
      <c r="A58" s="17" t="s">
        <v>79</v>
      </c>
      <c r="B58" s="17"/>
      <c r="C58" s="17"/>
      <c r="D58" s="17"/>
      <c r="E58" s="17"/>
      <c r="F58" s="18" t="n">
        <f aca="false">IFERROR(SUM(F7:F57),0)</f>
        <v>177</v>
      </c>
      <c r="G58" s="18" t="n">
        <f aca="false">IFERROR(SUM(G7:G57),0)</f>
        <v>849000</v>
      </c>
      <c r="J58" s="18" t="n">
        <f aca="false">IFERROR(SUM(J7:J57),0)</f>
        <v>754000</v>
      </c>
      <c r="L58" s="18" t="n">
        <f aca="false">IFERROR(SUM(L7:L57),0)</f>
        <v>51460</v>
      </c>
      <c r="N58" s="18" t="n">
        <f aca="false">IFERROR(SUM(N7:N57),0)</f>
        <v>3515</v>
      </c>
      <c r="R58" s="18" t="n">
        <f aca="false">IFERROR(SUM(R7:R57),0)</f>
        <v>696525</v>
      </c>
    </row>
  </sheetData>
  <mergeCells count="5">
    <mergeCell ref="A1:V1"/>
    <mergeCell ref="A2:V2"/>
    <mergeCell ref="A3:V3"/>
    <mergeCell ref="A4:V4"/>
    <mergeCell ref="A58:E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9" min="7" style="1" width="22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13" min="13" style="1" width="20"/>
    <col collapsed="false" customWidth="true" hidden="false" outlineLevel="0" max="14" min="14" style="1" width="22"/>
    <col collapsed="false" customWidth="true" hidden="false" outlineLevel="0" max="15" min="15" style="1" width="16"/>
    <col collapsed="false" customWidth="true" hidden="false" outlineLevel="0" max="16" min="16" style="1" width="26"/>
    <col collapsed="false" customWidth="true" hidden="false" outlineLevel="0" max="17" min="17" style="1" width="18"/>
    <col collapsed="false" customWidth="true" hidden="false" outlineLevel="0" max="18" min="18" style="1" width="28"/>
  </cols>
  <sheetData>
    <row r="1" customFormat="false" ht="43.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1.75" hidden="false" customHeight="true" outlineLevel="0" collapsed="false">
      <c r="A2" s="3" t="s">
        <v>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13.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33.75" hidden="false" customHeight="true" outlineLevel="0" collapsed="false">
      <c r="A5" s="6" t="s">
        <v>5</v>
      </c>
      <c r="B5" s="6" t="s">
        <v>6</v>
      </c>
      <c r="C5" s="6" t="s">
        <v>82</v>
      </c>
      <c r="D5" s="6" t="s">
        <v>14</v>
      </c>
      <c r="E5" s="6" t="s">
        <v>83</v>
      </c>
      <c r="F5" s="6" t="s">
        <v>84</v>
      </c>
      <c r="G5" s="6" t="s">
        <v>85</v>
      </c>
      <c r="H5" s="6" t="s">
        <v>86</v>
      </c>
      <c r="I5" s="7" t="s">
        <v>87</v>
      </c>
      <c r="J5" s="7" t="s">
        <v>88</v>
      </c>
      <c r="K5" s="7" t="s">
        <v>89</v>
      </c>
      <c r="L5" s="7" t="s">
        <v>90</v>
      </c>
      <c r="M5" s="6" t="s">
        <v>91</v>
      </c>
      <c r="N5" s="6" t="s">
        <v>92</v>
      </c>
      <c r="O5" s="6" t="s">
        <v>93</v>
      </c>
      <c r="P5" s="6" t="s">
        <v>94</v>
      </c>
      <c r="Q5" s="7" t="s">
        <v>95</v>
      </c>
      <c r="R5" s="7" t="s">
        <v>47</v>
      </c>
    </row>
    <row r="6" customFormat="false" ht="18" hidden="false" customHeight="true" outlineLevel="0" collapsed="false">
      <c r="A6" s="8" t="s">
        <v>96</v>
      </c>
      <c r="B6" s="8" t="s">
        <v>28</v>
      </c>
      <c r="C6" s="8" t="s">
        <v>97</v>
      </c>
      <c r="D6" s="8" t="s">
        <v>98</v>
      </c>
      <c r="E6" s="8" t="s">
        <v>99</v>
      </c>
      <c r="F6" s="8" t="s">
        <v>100</v>
      </c>
      <c r="G6" s="8" t="s">
        <v>29</v>
      </c>
      <c r="H6" s="8" t="s">
        <v>101</v>
      </c>
      <c r="I6" s="8" t="s">
        <v>102</v>
      </c>
      <c r="J6" s="8" t="s">
        <v>103</v>
      </c>
      <c r="K6" s="8" t="s">
        <v>104</v>
      </c>
      <c r="L6" s="8" t="s">
        <v>105</v>
      </c>
      <c r="M6" s="8" t="s">
        <v>106</v>
      </c>
      <c r="N6" s="8" t="s">
        <v>107</v>
      </c>
      <c r="O6" s="8" t="s">
        <v>108</v>
      </c>
      <c r="P6" s="8" t="s">
        <v>109</v>
      </c>
      <c r="Q6" s="8" t="s">
        <v>110</v>
      </c>
      <c r="R6" s="8" t="s">
        <v>47</v>
      </c>
    </row>
    <row r="7" customFormat="false" ht="21.75" hidden="false" customHeight="true" outlineLevel="0" collapsed="false">
      <c r="A7" s="9" t="s">
        <v>49</v>
      </c>
      <c r="B7" s="9" t="s">
        <v>50</v>
      </c>
      <c r="C7" s="9" t="s">
        <v>111</v>
      </c>
      <c r="D7" s="9" t="n">
        <v>8</v>
      </c>
      <c r="E7" s="9" t="n">
        <v>15</v>
      </c>
      <c r="F7" s="9" t="s">
        <v>112</v>
      </c>
      <c r="G7" s="9" t="s">
        <v>113</v>
      </c>
      <c r="H7" s="9" t="s">
        <v>114</v>
      </c>
      <c r="I7" s="9" t="n">
        <v>2</v>
      </c>
      <c r="J7" s="9" t="n">
        <v>100</v>
      </c>
      <c r="K7" s="9" t="n">
        <v>50</v>
      </c>
      <c r="L7" s="9" t="s">
        <v>115</v>
      </c>
      <c r="M7" s="9" t="s">
        <v>116</v>
      </c>
      <c r="N7" s="9" t="s">
        <v>117</v>
      </c>
      <c r="O7" s="9" t="s">
        <v>118</v>
      </c>
      <c r="P7" s="9" t="s">
        <v>119</v>
      </c>
      <c r="Q7" s="9" t="s">
        <v>120</v>
      </c>
      <c r="R7" s="9" t="s">
        <v>121</v>
      </c>
    </row>
    <row r="8" customFormat="false" ht="21.75" hidden="false" customHeight="true" outlineLevel="0" collapsed="false">
      <c r="A8" s="12" t="s">
        <v>60</v>
      </c>
      <c r="B8" s="12" t="s">
        <v>61</v>
      </c>
      <c r="C8" s="12" t="s">
        <v>111</v>
      </c>
      <c r="D8" s="12" t="n">
        <v>8</v>
      </c>
      <c r="E8" s="12" t="n">
        <v>15</v>
      </c>
      <c r="F8" s="12" t="s">
        <v>112</v>
      </c>
      <c r="G8" s="12" t="s">
        <v>113</v>
      </c>
      <c r="H8" s="12" t="s">
        <v>114</v>
      </c>
      <c r="I8" s="12" t="n">
        <v>2</v>
      </c>
      <c r="J8" s="12" t="n">
        <v>80</v>
      </c>
      <c r="K8" s="12" t="n">
        <v>50</v>
      </c>
      <c r="L8" s="12" t="s">
        <v>115</v>
      </c>
      <c r="M8" s="12" t="s">
        <v>122</v>
      </c>
      <c r="N8" s="12" t="s">
        <v>123</v>
      </c>
      <c r="O8" s="12" t="s">
        <v>124</v>
      </c>
      <c r="P8" s="12" t="s">
        <v>125</v>
      </c>
      <c r="Q8" s="12" t="s">
        <v>120</v>
      </c>
      <c r="R8" s="12" t="s">
        <v>126</v>
      </c>
    </row>
    <row r="9" customFormat="false" ht="21.75" hidden="false" customHeight="true" outlineLevel="0" collapsed="false">
      <c r="A9" s="9" t="s">
        <v>66</v>
      </c>
      <c r="B9" s="9" t="s">
        <v>67</v>
      </c>
      <c r="C9" s="9" t="s">
        <v>127</v>
      </c>
      <c r="D9" s="9" t="n">
        <v>6</v>
      </c>
      <c r="E9" s="9" t="n">
        <v>25</v>
      </c>
      <c r="F9" s="9" t="s">
        <v>128</v>
      </c>
      <c r="G9" s="9" t="s">
        <v>113</v>
      </c>
      <c r="H9" s="9" t="s">
        <v>114</v>
      </c>
      <c r="I9" s="9" t="n">
        <v>1.5</v>
      </c>
      <c r="J9" s="9" t="n">
        <v>200</v>
      </c>
      <c r="K9" s="9" t="n">
        <v>100</v>
      </c>
      <c r="L9" s="9" t="s">
        <v>129</v>
      </c>
      <c r="M9" s="9" t="s">
        <v>116</v>
      </c>
      <c r="N9" s="9" t="s">
        <v>130</v>
      </c>
      <c r="O9" s="9" t="s">
        <v>131</v>
      </c>
      <c r="P9" s="9" t="s">
        <v>132</v>
      </c>
      <c r="Q9" s="9" t="s">
        <v>120</v>
      </c>
      <c r="R9" s="9" t="s">
        <v>133</v>
      </c>
    </row>
    <row r="10" customFormat="false" ht="21.75" hidden="false" customHeight="true" outlineLevel="0" collapsed="false">
      <c r="A10" s="12" t="s">
        <v>74</v>
      </c>
      <c r="B10" s="12" t="s">
        <v>75</v>
      </c>
      <c r="C10" s="12" t="s">
        <v>111</v>
      </c>
      <c r="D10" s="12" t="n">
        <v>7</v>
      </c>
      <c r="E10" s="12" t="n">
        <v>15</v>
      </c>
      <c r="F10" s="12" t="s">
        <v>112</v>
      </c>
      <c r="G10" s="12" t="s">
        <v>134</v>
      </c>
      <c r="H10" s="12" t="s">
        <v>135</v>
      </c>
      <c r="I10" s="12" t="n">
        <v>1.5</v>
      </c>
      <c r="J10" s="12" t="n">
        <v>60</v>
      </c>
      <c r="K10" s="12" t="n">
        <v>75</v>
      </c>
      <c r="L10" s="12" t="s">
        <v>136</v>
      </c>
      <c r="M10" s="12" t="s">
        <v>137</v>
      </c>
      <c r="N10" s="12" t="s">
        <v>138</v>
      </c>
      <c r="O10" s="12" t="s">
        <v>139</v>
      </c>
      <c r="P10" s="12" t="s">
        <v>140</v>
      </c>
      <c r="Q10" s="12" t="s">
        <v>120</v>
      </c>
      <c r="R10" s="12" t="s">
        <v>141</v>
      </c>
    </row>
    <row r="11" customFormat="false" ht="19.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9.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customFormat="false" ht="19.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9.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customFormat="false" ht="19.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9.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customFormat="false" ht="19.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9.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customFormat="false" ht="19.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9.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customFormat="false" ht="19.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customFormat="false" ht="19.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customFormat="false" ht="19.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customFormat="false" ht="19.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customFormat="false" ht="19.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9.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</sheetData>
  <mergeCells count="4">
    <mergeCell ref="A1:R1"/>
    <mergeCell ref="A2:R2"/>
    <mergeCell ref="A3:R3"/>
    <mergeCell ref="A4:R4"/>
  </mergeCells>
  <dataValidations count="3">
    <dataValidation allowBlank="false" errorStyle="stop" operator="between" showDropDown="false" showErrorMessage="false" showInputMessage="false" sqref="C7:C30" type="list">
      <formula1>"Retailer,Wholesaler"</formula1>
      <formula2>0</formula2>
    </dataValidation>
    <dataValidation allowBlank="false" errorStyle="stop" operator="between" showDropDown="false" showErrorMessage="false" showInputMessage="false" sqref="F7:F30" type="list">
      <formula1>"T+7,T+14,T+21,T+30"</formula1>
      <formula2>0</formula2>
    </dataValidation>
    <dataValidation allowBlank="false" errorStyle="stop" operator="between" showDropDown="false" showErrorMessage="false" showInputMessage="false" sqref="Q7:Q30" type="list">
      <formula1>"Active,Suspended,Terminated,Pending Agreement"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9" min="8" style="1" width="22"/>
    <col collapsed="false" customWidth="true" hidden="false" outlineLevel="0" max="10" min="10" style="1" width="18"/>
    <col collapsed="false" customWidth="true" hidden="false" outlineLevel="0" max="11" min="11" style="1" width="22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20"/>
    <col collapsed="false" customWidth="true" hidden="false" outlineLevel="0" max="15" min="15" style="1" width="18"/>
    <col collapsed="false" customWidth="true" hidden="false" outlineLevel="0" max="16" min="16" style="1" width="16"/>
    <col collapsed="false" customWidth="true" hidden="false" outlineLevel="0" max="17" min="17" style="1" width="26"/>
    <col collapsed="false" customWidth="true" hidden="false" outlineLevel="0" max="18" min="18" style="1" width="18"/>
    <col collapsed="false" customWidth="true" hidden="false" outlineLevel="0" max="19" min="19" style="1" width="28"/>
  </cols>
  <sheetData>
    <row r="1" customFormat="false" ht="43.5" hidden="false" customHeight="true" outlineLevel="0" collapsed="false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1.75" hidden="false" customHeight="true" outlineLevel="0" collapsed="false">
      <c r="A2" s="3" t="s">
        <v>143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customFormat="false" ht="13.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33.75" hidden="false" customHeight="true" outlineLevel="0" collapsed="false">
      <c r="A5" s="6" t="s">
        <v>144</v>
      </c>
      <c r="B5" s="6" t="s">
        <v>145</v>
      </c>
      <c r="C5" s="6" t="s">
        <v>5</v>
      </c>
      <c r="D5" s="6" t="s">
        <v>146</v>
      </c>
      <c r="E5" s="6" t="s">
        <v>147</v>
      </c>
      <c r="F5" s="6" t="s">
        <v>148</v>
      </c>
      <c r="G5" s="6" t="s">
        <v>149</v>
      </c>
      <c r="H5" s="6" t="s">
        <v>150</v>
      </c>
      <c r="I5" s="6" t="s">
        <v>151</v>
      </c>
      <c r="J5" s="6" t="s">
        <v>14</v>
      </c>
      <c r="K5" s="6" t="s">
        <v>15</v>
      </c>
      <c r="L5" s="6" t="s">
        <v>152</v>
      </c>
      <c r="M5" s="7" t="s">
        <v>153</v>
      </c>
      <c r="N5" s="7" t="s">
        <v>154</v>
      </c>
      <c r="O5" s="7" t="s">
        <v>155</v>
      </c>
      <c r="P5" s="7" t="s">
        <v>156</v>
      </c>
      <c r="Q5" s="6" t="s">
        <v>21</v>
      </c>
      <c r="R5" s="7" t="s">
        <v>157</v>
      </c>
      <c r="S5" s="7" t="s">
        <v>25</v>
      </c>
    </row>
    <row r="6" customFormat="false" ht="18" hidden="false" customHeight="true" outlineLevel="0" collapsed="false">
      <c r="A6" s="8" t="s">
        <v>158</v>
      </c>
      <c r="B6" s="8" t="s">
        <v>159</v>
      </c>
      <c r="C6" s="8" t="s">
        <v>160</v>
      </c>
      <c r="D6" s="8" t="s">
        <v>161</v>
      </c>
      <c r="E6" s="8" t="s">
        <v>162</v>
      </c>
      <c r="F6" s="8" t="s">
        <v>163</v>
      </c>
      <c r="G6" s="8" t="s">
        <v>164</v>
      </c>
      <c r="H6" s="8" t="s">
        <v>165</v>
      </c>
      <c r="I6" s="8" t="s">
        <v>166</v>
      </c>
      <c r="J6" s="8" t="s">
        <v>167</v>
      </c>
      <c r="K6" s="8" t="s">
        <v>168</v>
      </c>
      <c r="L6" s="8" t="s">
        <v>169</v>
      </c>
      <c r="M6" s="8" t="s">
        <v>170</v>
      </c>
      <c r="N6" s="8" t="s">
        <v>171</v>
      </c>
      <c r="O6" s="8" t="s">
        <v>170</v>
      </c>
      <c r="P6" s="8" t="s">
        <v>172</v>
      </c>
      <c r="Q6" s="8" t="s">
        <v>173</v>
      </c>
      <c r="R6" s="8" t="s">
        <v>174</v>
      </c>
      <c r="S6" s="8" t="s">
        <v>47</v>
      </c>
    </row>
    <row r="7" customFormat="false" ht="21.75" hidden="false" customHeight="true" outlineLevel="0" collapsed="false">
      <c r="A7" s="9" t="s">
        <v>48</v>
      </c>
      <c r="B7" s="9" t="s">
        <v>175</v>
      </c>
      <c r="C7" s="9" t="s">
        <v>49</v>
      </c>
      <c r="D7" s="9" t="s">
        <v>176</v>
      </c>
      <c r="E7" s="9" t="s">
        <v>177</v>
      </c>
      <c r="F7" s="9" t="s">
        <v>178</v>
      </c>
      <c r="G7" s="9" t="s">
        <v>179</v>
      </c>
      <c r="H7" s="9" t="n">
        <v>210</v>
      </c>
      <c r="I7" s="9" t="n">
        <v>175</v>
      </c>
      <c r="J7" s="9" t="n">
        <v>8</v>
      </c>
      <c r="K7" s="10" t="n">
        <f aca="false">IFERROR(J7*I7/100,0)</f>
        <v>14</v>
      </c>
      <c r="L7" s="9" t="s">
        <v>55</v>
      </c>
      <c r="M7" s="9" t="s">
        <v>180</v>
      </c>
      <c r="N7" s="9" t="n">
        <v>0</v>
      </c>
      <c r="O7" s="9" t="s">
        <v>180</v>
      </c>
      <c r="P7" s="9" t="n">
        <v>0</v>
      </c>
      <c r="Q7" s="11" t="n">
        <f aca="false">IFERROR(I7-K7-L7-N7-P7,0)</f>
        <v>146</v>
      </c>
      <c r="R7" s="9" t="s">
        <v>181</v>
      </c>
      <c r="S7" s="9"/>
    </row>
    <row r="8" customFormat="false" ht="21.75" hidden="false" customHeight="true" outlineLevel="0" collapsed="false">
      <c r="A8" s="12" t="s">
        <v>48</v>
      </c>
      <c r="B8" s="12" t="s">
        <v>182</v>
      </c>
      <c r="C8" s="12" t="s">
        <v>49</v>
      </c>
      <c r="D8" s="12" t="s">
        <v>183</v>
      </c>
      <c r="E8" s="12" t="s">
        <v>184</v>
      </c>
      <c r="F8" s="12" t="s">
        <v>185</v>
      </c>
      <c r="G8" s="12" t="s">
        <v>186</v>
      </c>
      <c r="H8" s="12" t="n">
        <v>1360</v>
      </c>
      <c r="I8" s="12" t="n">
        <v>1300</v>
      </c>
      <c r="J8" s="12" t="n">
        <v>8</v>
      </c>
      <c r="K8" s="13" t="n">
        <f aca="false">IFERROR(J8*I8/100,0)</f>
        <v>104</v>
      </c>
      <c r="L8" s="12" t="s">
        <v>55</v>
      </c>
      <c r="M8" s="12" t="s">
        <v>180</v>
      </c>
      <c r="N8" s="12" t="n">
        <v>0</v>
      </c>
      <c r="O8" s="12" t="s">
        <v>180</v>
      </c>
      <c r="P8" s="12" t="n">
        <v>0</v>
      </c>
      <c r="Q8" s="14" t="n">
        <f aca="false">IFERROR(I8-K8-L8-N8-P8,0)</f>
        <v>1181</v>
      </c>
      <c r="R8" s="12" t="s">
        <v>181</v>
      </c>
      <c r="S8" s="12" t="s">
        <v>187</v>
      </c>
    </row>
    <row r="9" customFormat="false" ht="21.75" hidden="false" customHeight="true" outlineLevel="0" collapsed="false">
      <c r="A9" s="9" t="s">
        <v>59</v>
      </c>
      <c r="B9" s="9" t="s">
        <v>188</v>
      </c>
      <c r="C9" s="9" t="s">
        <v>125</v>
      </c>
      <c r="D9" s="9" t="s">
        <v>177</v>
      </c>
      <c r="E9" s="9" t="s">
        <v>113</v>
      </c>
      <c r="F9" s="9" t="s">
        <v>189</v>
      </c>
      <c r="G9" s="9" t="s">
        <v>190</v>
      </c>
      <c r="H9" s="9" t="n">
        <v>255</v>
      </c>
      <c r="I9" s="9" t="n">
        <v>204</v>
      </c>
      <c r="J9" s="9" t="n">
        <v>8</v>
      </c>
      <c r="K9" s="10" t="n">
        <f aca="false">IFERROR(J9*I9/100,0)</f>
        <v>16.32</v>
      </c>
      <c r="L9" s="9" t="s">
        <v>55</v>
      </c>
      <c r="M9" s="9" t="s">
        <v>191</v>
      </c>
      <c r="N9" s="9" t="n">
        <v>204</v>
      </c>
      <c r="O9" s="9" t="s">
        <v>180</v>
      </c>
      <c r="P9" s="9" t="n">
        <v>0</v>
      </c>
      <c r="Q9" s="11" t="n">
        <f aca="false">IFERROR(I9-K9-L9-N9-P9,0)</f>
        <v>-31.32</v>
      </c>
      <c r="R9" s="9" t="s">
        <v>181</v>
      </c>
      <c r="S9" s="9" t="s">
        <v>192</v>
      </c>
    </row>
    <row r="10" customFormat="false" ht="21.75" hidden="false" customHeight="true" outlineLevel="0" collapsed="false">
      <c r="A10" s="12" t="s">
        <v>65</v>
      </c>
      <c r="B10" s="12" t="s">
        <v>193</v>
      </c>
      <c r="C10" s="12" t="s">
        <v>132</v>
      </c>
      <c r="D10" s="12" t="s">
        <v>177</v>
      </c>
      <c r="E10" s="12" t="s">
        <v>189</v>
      </c>
      <c r="F10" s="12" t="s">
        <v>194</v>
      </c>
      <c r="G10" s="12" t="s">
        <v>195</v>
      </c>
      <c r="H10" s="12" t="n">
        <v>220</v>
      </c>
      <c r="I10" s="12" t="n">
        <v>176</v>
      </c>
      <c r="J10" s="12" t="n">
        <v>6</v>
      </c>
      <c r="K10" s="13" t="n">
        <f aca="false">IFERROR(J10*I10/100,0)</f>
        <v>10.56</v>
      </c>
      <c r="L10" s="12" t="s">
        <v>69</v>
      </c>
      <c r="M10" s="12" t="s">
        <v>180</v>
      </c>
      <c r="N10" s="12" t="n">
        <v>0</v>
      </c>
      <c r="O10" s="12" t="s">
        <v>191</v>
      </c>
      <c r="P10" s="12" t="n">
        <v>100</v>
      </c>
      <c r="Q10" s="14" t="n">
        <f aca="false">IFERROR(I10-K10-L10-N10-P10,0)</f>
        <v>40.44</v>
      </c>
      <c r="R10" s="12" t="s">
        <v>181</v>
      </c>
      <c r="S10" s="12" t="s">
        <v>196</v>
      </c>
    </row>
    <row r="11" customFormat="false" ht="21.75" hidden="false" customHeight="true" outlineLevel="0" collapsed="false">
      <c r="A11" s="9" t="s">
        <v>73</v>
      </c>
      <c r="B11" s="9" t="s">
        <v>197</v>
      </c>
      <c r="C11" s="9" t="s">
        <v>74</v>
      </c>
      <c r="D11" s="9" t="s">
        <v>52</v>
      </c>
      <c r="E11" s="9" t="s">
        <v>113</v>
      </c>
      <c r="F11" s="9" t="s">
        <v>198</v>
      </c>
      <c r="G11" s="9" t="s">
        <v>199</v>
      </c>
      <c r="H11" s="9" t="n">
        <v>385</v>
      </c>
      <c r="I11" s="9" t="n">
        <v>336</v>
      </c>
      <c r="J11" s="9" t="n">
        <v>7</v>
      </c>
      <c r="K11" s="10" t="n">
        <f aca="false">IFERROR(J11*I11/100,0)</f>
        <v>23.52</v>
      </c>
      <c r="L11" s="9" t="s">
        <v>55</v>
      </c>
      <c r="M11" s="9" t="s">
        <v>180</v>
      </c>
      <c r="N11" s="9" t="n">
        <v>0</v>
      </c>
      <c r="O11" s="9" t="s">
        <v>180</v>
      </c>
      <c r="P11" s="9" t="n">
        <v>0</v>
      </c>
      <c r="Q11" s="11" t="n">
        <f aca="false">IFERROR(I11-K11-L11-N11-P11,0)</f>
        <v>297.48</v>
      </c>
      <c r="R11" s="9" t="s">
        <v>181</v>
      </c>
      <c r="S11" s="9" t="s">
        <v>200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3" t="n">
        <f aca="false">IFERROR(J12*I12/100,0)</f>
        <v>0</v>
      </c>
      <c r="L12" s="12"/>
      <c r="M12" s="12"/>
      <c r="N12" s="12"/>
      <c r="O12" s="12"/>
      <c r="P12" s="12"/>
      <c r="Q12" s="16" t="n">
        <f aca="false">IFERROR(I12-K12-L12-N12-P12,0)</f>
        <v>0</v>
      </c>
      <c r="R12" s="12"/>
      <c r="S12" s="12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10" t="n">
        <f aca="false">IFERROR(J13*I13/100,0)</f>
        <v>0</v>
      </c>
      <c r="L13" s="9"/>
      <c r="M13" s="9"/>
      <c r="N13" s="9"/>
      <c r="O13" s="9"/>
      <c r="P13" s="9"/>
      <c r="Q13" s="15" t="n">
        <f aca="false">IFERROR(I13-K13-L13-N13-P13,0)</f>
        <v>0</v>
      </c>
      <c r="R13" s="9"/>
      <c r="S13" s="9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3" t="n">
        <f aca="false">IFERROR(J14*I14/100,0)</f>
        <v>0</v>
      </c>
      <c r="L14" s="12"/>
      <c r="M14" s="12"/>
      <c r="N14" s="12"/>
      <c r="O14" s="12"/>
      <c r="P14" s="12"/>
      <c r="Q14" s="16" t="n">
        <f aca="false">IFERROR(I14-K14-L14-N14-P14,0)</f>
        <v>0</v>
      </c>
      <c r="R14" s="12"/>
      <c r="S14" s="12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10" t="n">
        <f aca="false">IFERROR(J15*I15/100,0)</f>
        <v>0</v>
      </c>
      <c r="L15" s="9"/>
      <c r="M15" s="9"/>
      <c r="N15" s="9"/>
      <c r="O15" s="9"/>
      <c r="P15" s="9"/>
      <c r="Q15" s="15" t="n">
        <f aca="false">IFERROR(I15-K15-L15-N15-P15,0)</f>
        <v>0</v>
      </c>
      <c r="R15" s="9"/>
      <c r="S15" s="9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3" t="n">
        <f aca="false">IFERROR(J16*I16/100,0)</f>
        <v>0</v>
      </c>
      <c r="L16" s="12"/>
      <c r="M16" s="12"/>
      <c r="N16" s="12"/>
      <c r="O16" s="12"/>
      <c r="P16" s="12"/>
      <c r="Q16" s="16" t="n">
        <f aca="false">IFERROR(I16-K16-L16-N16-P16,0)</f>
        <v>0</v>
      </c>
      <c r="R16" s="12"/>
      <c r="S16" s="12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10" t="n">
        <f aca="false">IFERROR(J17*I17/100,0)</f>
        <v>0</v>
      </c>
      <c r="L17" s="9"/>
      <c r="M17" s="9"/>
      <c r="N17" s="9"/>
      <c r="O17" s="9"/>
      <c r="P17" s="9"/>
      <c r="Q17" s="15" t="n">
        <f aca="false">IFERROR(I17-K17-L17-N17-P17,0)</f>
        <v>0</v>
      </c>
      <c r="R17" s="9"/>
      <c r="S17" s="9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3" t="n">
        <f aca="false">IFERROR(J18*I18/100,0)</f>
        <v>0</v>
      </c>
      <c r="L18" s="12"/>
      <c r="M18" s="12"/>
      <c r="N18" s="12"/>
      <c r="O18" s="12"/>
      <c r="P18" s="12"/>
      <c r="Q18" s="16" t="n">
        <f aca="false">IFERROR(I18-K18-L18-N18-P18,0)</f>
        <v>0</v>
      </c>
      <c r="R18" s="12"/>
      <c r="S18" s="12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10" t="n">
        <f aca="false">IFERROR(J19*I19/100,0)</f>
        <v>0</v>
      </c>
      <c r="L19" s="9"/>
      <c r="M19" s="9"/>
      <c r="N19" s="9"/>
      <c r="O19" s="9"/>
      <c r="P19" s="9"/>
      <c r="Q19" s="15" t="n">
        <f aca="false">IFERROR(I19-K19-L19-N19-P19,0)</f>
        <v>0</v>
      </c>
      <c r="R19" s="9"/>
      <c r="S19" s="9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3" t="n">
        <f aca="false">IFERROR(J20*I20/100,0)</f>
        <v>0</v>
      </c>
      <c r="L20" s="12"/>
      <c r="M20" s="12"/>
      <c r="N20" s="12"/>
      <c r="O20" s="12"/>
      <c r="P20" s="12"/>
      <c r="Q20" s="16" t="n">
        <f aca="false">IFERROR(I20-K20-L20-N20-P20,0)</f>
        <v>0</v>
      </c>
      <c r="R20" s="12"/>
      <c r="S20" s="12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10" t="n">
        <f aca="false">IFERROR(J21*I21/100,0)</f>
        <v>0</v>
      </c>
      <c r="L21" s="9"/>
      <c r="M21" s="9"/>
      <c r="N21" s="9"/>
      <c r="O21" s="9"/>
      <c r="P21" s="9"/>
      <c r="Q21" s="15" t="n">
        <f aca="false">IFERROR(I21-K21-L21-N21-P21,0)</f>
        <v>0</v>
      </c>
      <c r="R21" s="9"/>
      <c r="S21" s="9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3" t="n">
        <f aca="false">IFERROR(J22*I22/100,0)</f>
        <v>0</v>
      </c>
      <c r="L22" s="12"/>
      <c r="M22" s="12"/>
      <c r="N22" s="12"/>
      <c r="O22" s="12"/>
      <c r="P22" s="12"/>
      <c r="Q22" s="16" t="n">
        <f aca="false">IFERROR(I22-K22-L22-N22-P22,0)</f>
        <v>0</v>
      </c>
      <c r="R22" s="12"/>
      <c r="S22" s="12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10" t="n">
        <f aca="false">IFERROR(J23*I23/100,0)</f>
        <v>0</v>
      </c>
      <c r="L23" s="9"/>
      <c r="M23" s="9"/>
      <c r="N23" s="9"/>
      <c r="O23" s="9"/>
      <c r="P23" s="9"/>
      <c r="Q23" s="15" t="n">
        <f aca="false">IFERROR(I23-K23-L23-N23-P23,0)</f>
        <v>0</v>
      </c>
      <c r="R23" s="9"/>
      <c r="S23" s="9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3" t="n">
        <f aca="false">IFERROR(J24*I24/100,0)</f>
        <v>0</v>
      </c>
      <c r="L24" s="12"/>
      <c r="M24" s="12"/>
      <c r="N24" s="12"/>
      <c r="O24" s="12"/>
      <c r="P24" s="12"/>
      <c r="Q24" s="16" t="n">
        <f aca="false">IFERROR(I24-K24-L24-N24-P24,0)</f>
        <v>0</v>
      </c>
      <c r="R24" s="12"/>
      <c r="S24" s="12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10" t="n">
        <f aca="false">IFERROR(J25*I25/100,0)</f>
        <v>0</v>
      </c>
      <c r="L25" s="9"/>
      <c r="M25" s="9"/>
      <c r="N25" s="9"/>
      <c r="O25" s="9"/>
      <c r="P25" s="9"/>
      <c r="Q25" s="15" t="n">
        <f aca="false">IFERROR(I25-K25-L25-N25-P25,0)</f>
        <v>0</v>
      </c>
      <c r="R25" s="9"/>
      <c r="S25" s="9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3" t="n">
        <f aca="false">IFERROR(J26*I26/100,0)</f>
        <v>0</v>
      </c>
      <c r="L26" s="12"/>
      <c r="M26" s="12"/>
      <c r="N26" s="12"/>
      <c r="O26" s="12"/>
      <c r="P26" s="12"/>
      <c r="Q26" s="16" t="n">
        <f aca="false">IFERROR(I26-K26-L26-N26-P26,0)</f>
        <v>0</v>
      </c>
      <c r="R26" s="12"/>
      <c r="S26" s="12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10" t="n">
        <f aca="false">IFERROR(J27*I27/100,0)</f>
        <v>0</v>
      </c>
      <c r="L27" s="9"/>
      <c r="M27" s="9"/>
      <c r="N27" s="9"/>
      <c r="O27" s="9"/>
      <c r="P27" s="9"/>
      <c r="Q27" s="15" t="n">
        <f aca="false">IFERROR(I27-K27-L27-N27-P27,0)</f>
        <v>0</v>
      </c>
      <c r="R27" s="9"/>
      <c r="S27" s="9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3" t="n">
        <f aca="false">IFERROR(J28*I28/100,0)</f>
        <v>0</v>
      </c>
      <c r="L28" s="12"/>
      <c r="M28" s="12"/>
      <c r="N28" s="12"/>
      <c r="O28" s="12"/>
      <c r="P28" s="12"/>
      <c r="Q28" s="16" t="n">
        <f aca="false">IFERROR(I28-K28-L28-N28-P28,0)</f>
        <v>0</v>
      </c>
      <c r="R28" s="12"/>
      <c r="S28" s="12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10" t="n">
        <f aca="false">IFERROR(J29*I29/100,0)</f>
        <v>0</v>
      </c>
      <c r="L29" s="9"/>
      <c r="M29" s="9"/>
      <c r="N29" s="9"/>
      <c r="O29" s="9"/>
      <c r="P29" s="9"/>
      <c r="Q29" s="15" t="n">
        <f aca="false">IFERROR(I29-K29-L29-N29-P29,0)</f>
        <v>0</v>
      </c>
      <c r="R29" s="9"/>
      <c r="S29" s="9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3" t="n">
        <f aca="false">IFERROR(J30*I30/100,0)</f>
        <v>0</v>
      </c>
      <c r="L30" s="12"/>
      <c r="M30" s="12"/>
      <c r="N30" s="12"/>
      <c r="O30" s="12"/>
      <c r="P30" s="12"/>
      <c r="Q30" s="16" t="n">
        <f aca="false">IFERROR(I30-K30-L30-N30-P30,0)</f>
        <v>0</v>
      </c>
      <c r="R30" s="12"/>
      <c r="S30" s="12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10" t="n">
        <f aca="false">IFERROR(J31*I31/100,0)</f>
        <v>0</v>
      </c>
      <c r="L31" s="9"/>
      <c r="M31" s="9"/>
      <c r="N31" s="9"/>
      <c r="O31" s="9"/>
      <c r="P31" s="9"/>
      <c r="Q31" s="15" t="n">
        <f aca="false">IFERROR(I31-K31-L31-N31-P31,0)</f>
        <v>0</v>
      </c>
      <c r="R31" s="9"/>
      <c r="S31" s="9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3" t="n">
        <f aca="false">IFERROR(J32*I32/100,0)</f>
        <v>0</v>
      </c>
      <c r="L32" s="12"/>
      <c r="M32" s="12"/>
      <c r="N32" s="12"/>
      <c r="O32" s="12"/>
      <c r="P32" s="12"/>
      <c r="Q32" s="16" t="n">
        <f aca="false">IFERROR(I32-K32-L32-N32-P32,0)</f>
        <v>0</v>
      </c>
      <c r="R32" s="12"/>
      <c r="S32" s="12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10" t="n">
        <f aca="false">IFERROR(J33*I33/100,0)</f>
        <v>0</v>
      </c>
      <c r="L33" s="9"/>
      <c r="M33" s="9"/>
      <c r="N33" s="9"/>
      <c r="O33" s="9"/>
      <c r="P33" s="9"/>
      <c r="Q33" s="15" t="n">
        <f aca="false">IFERROR(I33-K33-L33-N33-P33,0)</f>
        <v>0</v>
      </c>
      <c r="R33" s="9"/>
      <c r="S33" s="9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3" t="n">
        <f aca="false">IFERROR(J34*I34/100,0)</f>
        <v>0</v>
      </c>
      <c r="L34" s="12"/>
      <c r="M34" s="12"/>
      <c r="N34" s="12"/>
      <c r="O34" s="12"/>
      <c r="P34" s="12"/>
      <c r="Q34" s="16" t="n">
        <f aca="false">IFERROR(I34-K34-L34-N34-P34,0)</f>
        <v>0</v>
      </c>
      <c r="R34" s="12"/>
      <c r="S34" s="12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10" t="n">
        <f aca="false">IFERROR(J35*I35/100,0)</f>
        <v>0</v>
      </c>
      <c r="L35" s="9"/>
      <c r="M35" s="9"/>
      <c r="N35" s="9"/>
      <c r="O35" s="9"/>
      <c r="P35" s="9"/>
      <c r="Q35" s="15" t="n">
        <f aca="false">IFERROR(I35-K35-L35-N35-P35,0)</f>
        <v>0</v>
      </c>
      <c r="R35" s="9"/>
      <c r="S35" s="9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3" t="n">
        <f aca="false">IFERROR(J36*I36/100,0)</f>
        <v>0</v>
      </c>
      <c r="L36" s="12"/>
      <c r="M36" s="12"/>
      <c r="N36" s="12"/>
      <c r="O36" s="12"/>
      <c r="P36" s="12"/>
      <c r="Q36" s="16" t="n">
        <f aca="false">IFERROR(I36-K36-L36-N36-P36,0)</f>
        <v>0</v>
      </c>
      <c r="R36" s="12"/>
      <c r="S36" s="12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10" t="n">
        <f aca="false">IFERROR(J37*I37/100,0)</f>
        <v>0</v>
      </c>
      <c r="L37" s="9"/>
      <c r="M37" s="9"/>
      <c r="N37" s="9"/>
      <c r="O37" s="9"/>
      <c r="P37" s="9"/>
      <c r="Q37" s="15" t="n">
        <f aca="false">IFERROR(I37-K37-L37-N37-P37,0)</f>
        <v>0</v>
      </c>
      <c r="R37" s="9"/>
      <c r="S37" s="9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3" t="n">
        <f aca="false">IFERROR(J38*I38/100,0)</f>
        <v>0</v>
      </c>
      <c r="L38" s="12"/>
      <c r="M38" s="12"/>
      <c r="N38" s="12"/>
      <c r="O38" s="12"/>
      <c r="P38" s="12"/>
      <c r="Q38" s="16" t="n">
        <f aca="false">IFERROR(I38-K38-L38-N38-P38,0)</f>
        <v>0</v>
      </c>
      <c r="R38" s="12"/>
      <c r="S38" s="12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10" t="n">
        <f aca="false">IFERROR(J39*I39/100,0)</f>
        <v>0</v>
      </c>
      <c r="L39" s="9"/>
      <c r="M39" s="9"/>
      <c r="N39" s="9"/>
      <c r="O39" s="9"/>
      <c r="P39" s="9"/>
      <c r="Q39" s="15" t="n">
        <f aca="false">IFERROR(I39-K39-L39-N39-P39,0)</f>
        <v>0</v>
      </c>
      <c r="R39" s="9"/>
      <c r="S39" s="9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3" t="n">
        <f aca="false">IFERROR(J40*I40/100,0)</f>
        <v>0</v>
      </c>
      <c r="L40" s="12"/>
      <c r="M40" s="12"/>
      <c r="N40" s="12"/>
      <c r="O40" s="12"/>
      <c r="P40" s="12"/>
      <c r="Q40" s="16" t="n">
        <f aca="false">IFERROR(I40-K40-L40-N40-P40,0)</f>
        <v>0</v>
      </c>
      <c r="R40" s="12"/>
      <c r="S40" s="12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10" t="n">
        <f aca="false">IFERROR(J41*I41/100,0)</f>
        <v>0</v>
      </c>
      <c r="L41" s="9"/>
      <c r="M41" s="9"/>
      <c r="N41" s="9"/>
      <c r="O41" s="9"/>
      <c r="P41" s="9"/>
      <c r="Q41" s="15" t="n">
        <f aca="false">IFERROR(I41-K41-L41-N41-P41,0)</f>
        <v>0</v>
      </c>
      <c r="R41" s="9"/>
      <c r="S41" s="9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3" t="n">
        <f aca="false">IFERROR(J42*I42/100,0)</f>
        <v>0</v>
      </c>
      <c r="L42" s="12"/>
      <c r="M42" s="12"/>
      <c r="N42" s="12"/>
      <c r="O42" s="12"/>
      <c r="P42" s="12"/>
      <c r="Q42" s="16" t="n">
        <f aca="false">IFERROR(I42-K42-L42-N42-P42,0)</f>
        <v>0</v>
      </c>
      <c r="R42" s="12"/>
      <c r="S42" s="12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10" t="n">
        <f aca="false">IFERROR(J43*I43/100,0)</f>
        <v>0</v>
      </c>
      <c r="L43" s="9"/>
      <c r="M43" s="9"/>
      <c r="N43" s="9"/>
      <c r="O43" s="9"/>
      <c r="P43" s="9"/>
      <c r="Q43" s="15" t="n">
        <f aca="false">IFERROR(I43-K43-L43-N43-P43,0)</f>
        <v>0</v>
      </c>
      <c r="R43" s="9"/>
      <c r="S43" s="9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3" t="n">
        <f aca="false">IFERROR(J44*I44/100,0)</f>
        <v>0</v>
      </c>
      <c r="L44" s="12"/>
      <c r="M44" s="12"/>
      <c r="N44" s="12"/>
      <c r="O44" s="12"/>
      <c r="P44" s="12"/>
      <c r="Q44" s="16" t="n">
        <f aca="false">IFERROR(I44-K44-L44-N44-P44,0)</f>
        <v>0</v>
      </c>
      <c r="R44" s="12"/>
      <c r="S44" s="12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10" t="n">
        <f aca="false">IFERROR(J45*I45/100,0)</f>
        <v>0</v>
      </c>
      <c r="L45" s="9"/>
      <c r="M45" s="9"/>
      <c r="N45" s="9"/>
      <c r="O45" s="9"/>
      <c r="P45" s="9"/>
      <c r="Q45" s="15" t="n">
        <f aca="false">IFERROR(I45-K45-L45-N45-P45,0)</f>
        <v>0</v>
      </c>
      <c r="R45" s="9"/>
      <c r="S45" s="9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3" t="n">
        <f aca="false">IFERROR(J46*I46/100,0)</f>
        <v>0</v>
      </c>
      <c r="L46" s="12"/>
      <c r="M46" s="12"/>
      <c r="N46" s="12"/>
      <c r="O46" s="12"/>
      <c r="P46" s="12"/>
      <c r="Q46" s="16" t="n">
        <f aca="false">IFERROR(I46-K46-L46-N46-P46,0)</f>
        <v>0</v>
      </c>
      <c r="R46" s="12"/>
      <c r="S46" s="12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10" t="n">
        <f aca="false">IFERROR(J47*I47/100,0)</f>
        <v>0</v>
      </c>
      <c r="L47" s="9"/>
      <c r="M47" s="9"/>
      <c r="N47" s="9"/>
      <c r="O47" s="9"/>
      <c r="P47" s="9"/>
      <c r="Q47" s="15" t="n">
        <f aca="false">IFERROR(I47-K47-L47-N47-P47,0)</f>
        <v>0</v>
      </c>
      <c r="R47" s="9"/>
      <c r="S47" s="9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3" t="n">
        <f aca="false">IFERROR(J48*I48/100,0)</f>
        <v>0</v>
      </c>
      <c r="L48" s="12"/>
      <c r="M48" s="12"/>
      <c r="N48" s="12"/>
      <c r="O48" s="12"/>
      <c r="P48" s="12"/>
      <c r="Q48" s="16" t="n">
        <f aca="false">IFERROR(I48-K48-L48-N48-P48,0)</f>
        <v>0</v>
      </c>
      <c r="R48" s="12"/>
      <c r="S48" s="12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10" t="n">
        <f aca="false">IFERROR(J49*I49/100,0)</f>
        <v>0</v>
      </c>
      <c r="L49" s="9"/>
      <c r="M49" s="9"/>
      <c r="N49" s="9"/>
      <c r="O49" s="9"/>
      <c r="P49" s="9"/>
      <c r="Q49" s="15" t="n">
        <f aca="false">IFERROR(I49-K49-L49-N49-P49,0)</f>
        <v>0</v>
      </c>
      <c r="R49" s="9"/>
      <c r="S49" s="9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3" t="n">
        <f aca="false">IFERROR(J50*I50/100,0)</f>
        <v>0</v>
      </c>
      <c r="L50" s="12"/>
      <c r="M50" s="12"/>
      <c r="N50" s="12"/>
      <c r="O50" s="12"/>
      <c r="P50" s="12"/>
      <c r="Q50" s="16" t="n">
        <f aca="false">IFERROR(I50-K50-L50-N50-P50,0)</f>
        <v>0</v>
      </c>
      <c r="R50" s="12"/>
      <c r="S50" s="12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10" t="n">
        <f aca="false">IFERROR(J51*I51/100,0)</f>
        <v>0</v>
      </c>
      <c r="L51" s="9"/>
      <c r="M51" s="9"/>
      <c r="N51" s="9"/>
      <c r="O51" s="9"/>
      <c r="P51" s="9"/>
      <c r="Q51" s="15" t="n">
        <f aca="false">IFERROR(I51-K51-L51-N51-P51,0)</f>
        <v>0</v>
      </c>
      <c r="R51" s="9"/>
      <c r="S51" s="9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3" t="n">
        <f aca="false">IFERROR(J52*I52/100,0)</f>
        <v>0</v>
      </c>
      <c r="L52" s="12"/>
      <c r="M52" s="12"/>
      <c r="N52" s="12"/>
      <c r="O52" s="12"/>
      <c r="P52" s="12"/>
      <c r="Q52" s="16" t="n">
        <f aca="false">IFERROR(I52-K52-L52-N52-P52,0)</f>
        <v>0</v>
      </c>
      <c r="R52" s="12"/>
      <c r="S52" s="12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10" t="n">
        <f aca="false">IFERROR(J53*I53/100,0)</f>
        <v>0</v>
      </c>
      <c r="L53" s="9"/>
      <c r="M53" s="9"/>
      <c r="N53" s="9"/>
      <c r="O53" s="9"/>
      <c r="P53" s="9"/>
      <c r="Q53" s="15" t="n">
        <f aca="false">IFERROR(I53-K53-L53-N53-P53,0)</f>
        <v>0</v>
      </c>
      <c r="R53" s="9"/>
      <c r="S53" s="9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3" t="n">
        <f aca="false">IFERROR(J54*I54/100,0)</f>
        <v>0</v>
      </c>
      <c r="L54" s="12"/>
      <c r="M54" s="12"/>
      <c r="N54" s="12"/>
      <c r="O54" s="12"/>
      <c r="P54" s="12"/>
      <c r="Q54" s="16" t="n">
        <f aca="false">IFERROR(I54-K54-L54-N54-P54,0)</f>
        <v>0</v>
      </c>
      <c r="R54" s="12"/>
      <c r="S54" s="12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10" t="n">
        <f aca="false">IFERROR(J55*I55/100,0)</f>
        <v>0</v>
      </c>
      <c r="L55" s="9"/>
      <c r="M55" s="9"/>
      <c r="N55" s="9"/>
      <c r="O55" s="9"/>
      <c r="P55" s="9"/>
      <c r="Q55" s="15" t="n">
        <f aca="false">IFERROR(I55-K55-L55-N55-P55,0)</f>
        <v>0</v>
      </c>
      <c r="R55" s="9"/>
      <c r="S55" s="9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3" t="n">
        <f aca="false">IFERROR(J56*I56/100,0)</f>
        <v>0</v>
      </c>
      <c r="L56" s="12"/>
      <c r="M56" s="12"/>
      <c r="N56" s="12"/>
      <c r="O56" s="12"/>
      <c r="P56" s="12"/>
      <c r="Q56" s="16" t="n">
        <f aca="false">IFERROR(I56-K56-L56-N56-P56,0)</f>
        <v>0</v>
      </c>
      <c r="R56" s="12"/>
      <c r="S56" s="12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10" t="n">
        <f aca="false">IFERROR(J57*I57/100,0)</f>
        <v>0</v>
      </c>
      <c r="L57" s="9"/>
      <c r="M57" s="9"/>
      <c r="N57" s="9"/>
      <c r="O57" s="9"/>
      <c r="P57" s="9"/>
      <c r="Q57" s="15" t="n">
        <f aca="false">IFERROR(I57-K57-L57-N57-P57,0)</f>
        <v>0</v>
      </c>
      <c r="R57" s="9"/>
      <c r="S57" s="9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3" t="n">
        <f aca="false">IFERROR(J58*I58/100,0)</f>
        <v>0</v>
      </c>
      <c r="L58" s="12"/>
      <c r="M58" s="12"/>
      <c r="N58" s="12"/>
      <c r="O58" s="12"/>
      <c r="P58" s="12"/>
      <c r="Q58" s="16" t="n">
        <f aca="false">IFERROR(I58-K58-L58-N58-P58,0)</f>
        <v>0</v>
      </c>
      <c r="R58" s="12"/>
      <c r="S58" s="12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10" t="n">
        <f aca="false">IFERROR(J59*I59/100,0)</f>
        <v>0</v>
      </c>
      <c r="L59" s="9"/>
      <c r="M59" s="9"/>
      <c r="N59" s="9"/>
      <c r="O59" s="9"/>
      <c r="P59" s="9"/>
      <c r="Q59" s="15" t="n">
        <f aca="false">IFERROR(I59-K59-L59-N59-P59,0)</f>
        <v>0</v>
      </c>
      <c r="R59" s="9"/>
      <c r="S59" s="9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3" t="n">
        <f aca="false">IFERROR(J60*I60/100,0)</f>
        <v>0</v>
      </c>
      <c r="L60" s="12"/>
      <c r="M60" s="12"/>
      <c r="N60" s="12"/>
      <c r="O60" s="12"/>
      <c r="P60" s="12"/>
      <c r="Q60" s="16" t="n">
        <f aca="false">IFERROR(I60-K60-L60-N60-P60,0)</f>
        <v>0</v>
      </c>
      <c r="R60" s="12"/>
      <c r="S60" s="12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10" t="n">
        <f aca="false">IFERROR(J61*I61/100,0)</f>
        <v>0</v>
      </c>
      <c r="L61" s="9"/>
      <c r="M61" s="9"/>
      <c r="N61" s="9"/>
      <c r="O61" s="9"/>
      <c r="P61" s="9"/>
      <c r="Q61" s="15" t="n">
        <f aca="false">IFERROR(I61-K61-L61-N61-P61,0)</f>
        <v>0</v>
      </c>
      <c r="R61" s="9"/>
      <c r="S61" s="9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3" t="n">
        <f aca="false">IFERROR(J62*I62/100,0)</f>
        <v>0</v>
      </c>
      <c r="L62" s="12"/>
      <c r="M62" s="12"/>
      <c r="N62" s="12"/>
      <c r="O62" s="12"/>
      <c r="P62" s="12"/>
      <c r="Q62" s="16" t="n">
        <f aca="false">IFERROR(I62-K62-L62-N62-P62,0)</f>
        <v>0</v>
      </c>
      <c r="R62" s="12"/>
      <c r="S62" s="12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10" t="n">
        <f aca="false">IFERROR(J63*I63/100,0)</f>
        <v>0</v>
      </c>
      <c r="L63" s="9"/>
      <c r="M63" s="9"/>
      <c r="N63" s="9"/>
      <c r="O63" s="9"/>
      <c r="P63" s="9"/>
      <c r="Q63" s="15" t="n">
        <f aca="false">IFERROR(I63-K63-L63-N63-P63,0)</f>
        <v>0</v>
      </c>
      <c r="R63" s="9"/>
      <c r="S63" s="9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3" t="n">
        <f aca="false">IFERROR(J64*I64/100,0)</f>
        <v>0</v>
      </c>
      <c r="L64" s="12"/>
      <c r="M64" s="12"/>
      <c r="N64" s="12"/>
      <c r="O64" s="12"/>
      <c r="P64" s="12"/>
      <c r="Q64" s="16" t="n">
        <f aca="false">IFERROR(I64-K64-L64-N64-P64,0)</f>
        <v>0</v>
      </c>
      <c r="R64" s="12"/>
      <c r="S64" s="12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10" t="n">
        <f aca="false">IFERROR(J65*I65/100,0)</f>
        <v>0</v>
      </c>
      <c r="L65" s="9"/>
      <c r="M65" s="9"/>
      <c r="N65" s="9"/>
      <c r="O65" s="9"/>
      <c r="P65" s="9"/>
      <c r="Q65" s="15" t="n">
        <f aca="false">IFERROR(I65-K65-L65-N65-P65,0)</f>
        <v>0</v>
      </c>
      <c r="R65" s="9"/>
      <c r="S65" s="9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3" t="n">
        <f aca="false">IFERROR(J66*I66/100,0)</f>
        <v>0</v>
      </c>
      <c r="L66" s="12"/>
      <c r="M66" s="12"/>
      <c r="N66" s="12"/>
      <c r="O66" s="12"/>
      <c r="P66" s="12"/>
      <c r="Q66" s="16" t="n">
        <f aca="false">IFERROR(I66-K66-L66-N66-P66,0)</f>
        <v>0</v>
      </c>
      <c r="R66" s="12"/>
      <c r="S66" s="12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10" t="n">
        <f aca="false">IFERROR(J67*I67/100,0)</f>
        <v>0</v>
      </c>
      <c r="L67" s="9"/>
      <c r="M67" s="9"/>
      <c r="N67" s="9"/>
      <c r="O67" s="9"/>
      <c r="P67" s="9"/>
      <c r="Q67" s="15" t="n">
        <f aca="false">IFERROR(I67-K67-L67-N67-P67,0)</f>
        <v>0</v>
      </c>
      <c r="R67" s="9"/>
      <c r="S67" s="9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3" t="n">
        <f aca="false">IFERROR(J68*I68/100,0)</f>
        <v>0</v>
      </c>
      <c r="L68" s="12"/>
      <c r="M68" s="12"/>
      <c r="N68" s="12"/>
      <c r="O68" s="12"/>
      <c r="P68" s="12"/>
      <c r="Q68" s="16" t="n">
        <f aca="false">IFERROR(I68-K68-L68-N68-P68,0)</f>
        <v>0</v>
      </c>
      <c r="R68" s="12"/>
      <c r="S68" s="12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10" t="n">
        <f aca="false">IFERROR(J69*I69/100,0)</f>
        <v>0</v>
      </c>
      <c r="L69" s="9"/>
      <c r="M69" s="9"/>
      <c r="N69" s="9"/>
      <c r="O69" s="9"/>
      <c r="P69" s="9"/>
      <c r="Q69" s="15" t="n">
        <f aca="false">IFERROR(I69-K69-L69-N69-P69,0)</f>
        <v>0</v>
      </c>
      <c r="R69" s="9"/>
      <c r="S69" s="9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3" t="n">
        <f aca="false">IFERROR(J70*I70/100,0)</f>
        <v>0</v>
      </c>
      <c r="L70" s="12"/>
      <c r="M70" s="12"/>
      <c r="N70" s="12"/>
      <c r="O70" s="12"/>
      <c r="P70" s="12"/>
      <c r="Q70" s="16" t="n">
        <f aca="false">IFERROR(I70-K70-L70-N70-P70,0)</f>
        <v>0</v>
      </c>
      <c r="R70" s="12"/>
      <c r="S70" s="12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10" t="n">
        <f aca="false">IFERROR(J71*I71/100,0)</f>
        <v>0</v>
      </c>
      <c r="L71" s="9"/>
      <c r="M71" s="9"/>
      <c r="N71" s="9"/>
      <c r="O71" s="9"/>
      <c r="P71" s="9"/>
      <c r="Q71" s="15" t="n">
        <f aca="false">IFERROR(I71-K71-L71-N71-P71,0)</f>
        <v>0</v>
      </c>
      <c r="R71" s="9"/>
      <c r="S71" s="9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3" t="n">
        <f aca="false">IFERROR(J72*I72/100,0)</f>
        <v>0</v>
      </c>
      <c r="L72" s="12"/>
      <c r="M72" s="12"/>
      <c r="N72" s="12"/>
      <c r="O72" s="12"/>
      <c r="P72" s="12"/>
      <c r="Q72" s="16" t="n">
        <f aca="false">IFERROR(I72-K72-L72-N72-P72,0)</f>
        <v>0</v>
      </c>
      <c r="R72" s="12"/>
      <c r="S72" s="12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10" t="n">
        <f aca="false">IFERROR(J73*I73/100,0)</f>
        <v>0</v>
      </c>
      <c r="L73" s="9"/>
      <c r="M73" s="9"/>
      <c r="N73" s="9"/>
      <c r="O73" s="9"/>
      <c r="P73" s="9"/>
      <c r="Q73" s="15" t="n">
        <f aca="false">IFERROR(I73-K73-L73-N73-P73,0)</f>
        <v>0</v>
      </c>
      <c r="R73" s="9"/>
      <c r="S73" s="9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3" t="n">
        <f aca="false">IFERROR(J74*I74/100,0)</f>
        <v>0</v>
      </c>
      <c r="L74" s="12"/>
      <c r="M74" s="12"/>
      <c r="N74" s="12"/>
      <c r="O74" s="12"/>
      <c r="P74" s="12"/>
      <c r="Q74" s="16" t="n">
        <f aca="false">IFERROR(I74-K74-L74-N74-P74,0)</f>
        <v>0</v>
      </c>
      <c r="R74" s="12"/>
      <c r="S74" s="12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10" t="n">
        <f aca="false">IFERROR(J75*I75/100,0)</f>
        <v>0</v>
      </c>
      <c r="L75" s="9"/>
      <c r="M75" s="9"/>
      <c r="N75" s="9"/>
      <c r="O75" s="9"/>
      <c r="P75" s="9"/>
      <c r="Q75" s="15" t="n">
        <f aca="false">IFERROR(I75-K75-L75-N75-P75,0)</f>
        <v>0</v>
      </c>
      <c r="R75" s="9"/>
      <c r="S75" s="9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3" t="n">
        <f aca="false">IFERROR(J76*I76/100,0)</f>
        <v>0</v>
      </c>
      <c r="L76" s="12"/>
      <c r="M76" s="12"/>
      <c r="N76" s="12"/>
      <c r="O76" s="12"/>
      <c r="P76" s="12"/>
      <c r="Q76" s="16" t="n">
        <f aca="false">IFERROR(I76-K76-L76-N76-P76,0)</f>
        <v>0</v>
      </c>
      <c r="R76" s="12"/>
      <c r="S76" s="12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10" t="n">
        <f aca="false">IFERROR(J77*I77/100,0)</f>
        <v>0</v>
      </c>
      <c r="L77" s="9"/>
      <c r="M77" s="9"/>
      <c r="N77" s="9"/>
      <c r="O77" s="9"/>
      <c r="P77" s="9"/>
      <c r="Q77" s="15" t="n">
        <f aca="false">IFERROR(I77-K77-L77-N77-P77,0)</f>
        <v>0</v>
      </c>
      <c r="R77" s="9"/>
      <c r="S77" s="9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3" t="n">
        <f aca="false">IFERROR(J78*I78/100,0)</f>
        <v>0</v>
      </c>
      <c r="L78" s="12"/>
      <c r="M78" s="12"/>
      <c r="N78" s="12"/>
      <c r="O78" s="12"/>
      <c r="P78" s="12"/>
      <c r="Q78" s="16" t="n">
        <f aca="false">IFERROR(I78-K78-L78-N78-P78,0)</f>
        <v>0</v>
      </c>
      <c r="R78" s="12"/>
      <c r="S78" s="12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10" t="n">
        <f aca="false">IFERROR(J79*I79/100,0)</f>
        <v>0</v>
      </c>
      <c r="L79" s="9"/>
      <c r="M79" s="9"/>
      <c r="N79" s="9"/>
      <c r="O79" s="9"/>
      <c r="P79" s="9"/>
      <c r="Q79" s="15" t="n">
        <f aca="false">IFERROR(I79-K79-L79-N79-P79,0)</f>
        <v>0</v>
      </c>
      <c r="R79" s="9"/>
      <c r="S79" s="9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3" t="n">
        <f aca="false">IFERROR(J80*I80/100,0)</f>
        <v>0</v>
      </c>
      <c r="L80" s="12"/>
      <c r="M80" s="12"/>
      <c r="N80" s="12"/>
      <c r="O80" s="12"/>
      <c r="P80" s="12"/>
      <c r="Q80" s="16" t="n">
        <f aca="false">IFERROR(I80-K80-L80-N80-P80,0)</f>
        <v>0</v>
      </c>
      <c r="R80" s="12"/>
      <c r="S80" s="12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10" t="n">
        <f aca="false">IFERROR(J81*I81/100,0)</f>
        <v>0</v>
      </c>
      <c r="L81" s="9"/>
      <c r="M81" s="9"/>
      <c r="N81" s="9"/>
      <c r="O81" s="9"/>
      <c r="P81" s="9"/>
      <c r="Q81" s="15" t="n">
        <f aca="false">IFERROR(I81-K81-L81-N81-P81,0)</f>
        <v>0</v>
      </c>
      <c r="R81" s="9"/>
      <c r="S81" s="9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3" t="n">
        <f aca="false">IFERROR(J82*I82/100,0)</f>
        <v>0</v>
      </c>
      <c r="L82" s="12"/>
      <c r="M82" s="12"/>
      <c r="N82" s="12"/>
      <c r="O82" s="12"/>
      <c r="P82" s="12"/>
      <c r="Q82" s="16" t="n">
        <f aca="false">IFERROR(I82-K82-L82-N82-P82,0)</f>
        <v>0</v>
      </c>
      <c r="R82" s="12"/>
      <c r="S82" s="12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10" t="n">
        <f aca="false">IFERROR(J83*I83/100,0)</f>
        <v>0</v>
      </c>
      <c r="L83" s="9"/>
      <c r="M83" s="9"/>
      <c r="N83" s="9"/>
      <c r="O83" s="9"/>
      <c r="P83" s="9"/>
      <c r="Q83" s="15" t="n">
        <f aca="false">IFERROR(I83-K83-L83-N83-P83,0)</f>
        <v>0</v>
      </c>
      <c r="R83" s="9"/>
      <c r="S83" s="9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3" t="n">
        <f aca="false">IFERROR(J84*I84/100,0)</f>
        <v>0</v>
      </c>
      <c r="L84" s="12"/>
      <c r="M84" s="12"/>
      <c r="N84" s="12"/>
      <c r="O84" s="12"/>
      <c r="P84" s="12"/>
      <c r="Q84" s="16" t="n">
        <f aca="false">IFERROR(I84-K84-L84-N84-P84,0)</f>
        <v>0</v>
      </c>
      <c r="R84" s="12"/>
      <c r="S84" s="12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10" t="n">
        <f aca="false">IFERROR(J85*I85/100,0)</f>
        <v>0</v>
      </c>
      <c r="L85" s="9"/>
      <c r="M85" s="9"/>
      <c r="N85" s="9"/>
      <c r="O85" s="9"/>
      <c r="P85" s="9"/>
      <c r="Q85" s="15" t="n">
        <f aca="false">IFERROR(I85-K85-L85-N85-P85,0)</f>
        <v>0</v>
      </c>
      <c r="R85" s="9"/>
      <c r="S85" s="9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3" t="n">
        <f aca="false">IFERROR(J86*I86/100,0)</f>
        <v>0</v>
      </c>
      <c r="L86" s="12"/>
      <c r="M86" s="12"/>
      <c r="N86" s="12"/>
      <c r="O86" s="12"/>
      <c r="P86" s="12"/>
      <c r="Q86" s="16" t="n">
        <f aca="false">IFERROR(I86-K86-L86-N86-P86,0)</f>
        <v>0</v>
      </c>
      <c r="R86" s="12"/>
      <c r="S86" s="12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10" t="n">
        <f aca="false">IFERROR(J87*I87/100,0)</f>
        <v>0</v>
      </c>
      <c r="L87" s="9"/>
      <c r="M87" s="9"/>
      <c r="N87" s="9"/>
      <c r="O87" s="9"/>
      <c r="P87" s="9"/>
      <c r="Q87" s="15" t="n">
        <f aca="false">IFERROR(I87-K87-L87-N87-P87,0)</f>
        <v>0</v>
      </c>
      <c r="R87" s="9"/>
      <c r="S87" s="9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3" t="n">
        <f aca="false">IFERROR(J88*I88/100,0)</f>
        <v>0</v>
      </c>
      <c r="L88" s="12"/>
      <c r="M88" s="12"/>
      <c r="N88" s="12"/>
      <c r="O88" s="12"/>
      <c r="P88" s="12"/>
      <c r="Q88" s="16" t="n">
        <f aca="false">IFERROR(I88-K88-L88-N88-P88,0)</f>
        <v>0</v>
      </c>
      <c r="R88" s="12"/>
      <c r="S88" s="12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10" t="n">
        <f aca="false">IFERROR(J89*I89/100,0)</f>
        <v>0</v>
      </c>
      <c r="L89" s="9"/>
      <c r="M89" s="9"/>
      <c r="N89" s="9"/>
      <c r="O89" s="9"/>
      <c r="P89" s="9"/>
      <c r="Q89" s="15" t="n">
        <f aca="false">IFERROR(I89-K89-L89-N89-P89,0)</f>
        <v>0</v>
      </c>
      <c r="R89" s="9"/>
      <c r="S89" s="9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3" t="n">
        <f aca="false">IFERROR(J90*I90/100,0)</f>
        <v>0</v>
      </c>
      <c r="L90" s="12"/>
      <c r="M90" s="12"/>
      <c r="N90" s="12"/>
      <c r="O90" s="12"/>
      <c r="P90" s="12"/>
      <c r="Q90" s="16" t="n">
        <f aca="false">IFERROR(I90-K90-L90-N90-P90,0)</f>
        <v>0</v>
      </c>
      <c r="R90" s="12"/>
      <c r="S90" s="12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10" t="n">
        <f aca="false">IFERROR(J91*I91/100,0)</f>
        <v>0</v>
      </c>
      <c r="L91" s="9"/>
      <c r="M91" s="9"/>
      <c r="N91" s="9"/>
      <c r="O91" s="9"/>
      <c r="P91" s="9"/>
      <c r="Q91" s="15" t="n">
        <f aca="false">IFERROR(I91-K91-L91-N91-P91,0)</f>
        <v>0</v>
      </c>
      <c r="R91" s="9"/>
      <c r="S91" s="9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3" t="n">
        <f aca="false">IFERROR(J92*I92/100,0)</f>
        <v>0</v>
      </c>
      <c r="L92" s="12"/>
      <c r="M92" s="12"/>
      <c r="N92" s="12"/>
      <c r="O92" s="12"/>
      <c r="P92" s="12"/>
      <c r="Q92" s="16" t="n">
        <f aca="false">IFERROR(I92-K92-L92-N92-P92,0)</f>
        <v>0</v>
      </c>
      <c r="R92" s="12"/>
      <c r="S92" s="12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10" t="n">
        <f aca="false">IFERROR(J93*I93/100,0)</f>
        <v>0</v>
      </c>
      <c r="L93" s="9"/>
      <c r="M93" s="9"/>
      <c r="N93" s="9"/>
      <c r="O93" s="9"/>
      <c r="P93" s="9"/>
      <c r="Q93" s="15" t="n">
        <f aca="false">IFERROR(I93-K93-L93-N93-P93,0)</f>
        <v>0</v>
      </c>
      <c r="R93" s="9"/>
      <c r="S93" s="9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3" t="n">
        <f aca="false">IFERROR(J94*I94/100,0)</f>
        <v>0</v>
      </c>
      <c r="L94" s="12"/>
      <c r="M94" s="12"/>
      <c r="N94" s="12"/>
      <c r="O94" s="12"/>
      <c r="P94" s="12"/>
      <c r="Q94" s="16" t="n">
        <f aca="false">IFERROR(I94-K94-L94-N94-P94,0)</f>
        <v>0</v>
      </c>
      <c r="R94" s="12"/>
      <c r="S94" s="12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10" t="n">
        <f aca="false">IFERROR(J95*I95/100,0)</f>
        <v>0</v>
      </c>
      <c r="L95" s="9"/>
      <c r="M95" s="9"/>
      <c r="N95" s="9"/>
      <c r="O95" s="9"/>
      <c r="P95" s="9"/>
      <c r="Q95" s="15" t="n">
        <f aca="false">IFERROR(I95-K95-L95-N95-P95,0)</f>
        <v>0</v>
      </c>
      <c r="R95" s="9"/>
      <c r="S95" s="9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3" t="n">
        <f aca="false">IFERROR(J96*I96/100,0)</f>
        <v>0</v>
      </c>
      <c r="L96" s="12"/>
      <c r="M96" s="12"/>
      <c r="N96" s="12"/>
      <c r="O96" s="12"/>
      <c r="P96" s="12"/>
      <c r="Q96" s="16" t="n">
        <f aca="false">IFERROR(I96-K96-L96-N96-P96,0)</f>
        <v>0</v>
      </c>
      <c r="R96" s="12"/>
      <c r="S96" s="12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10" t="n">
        <f aca="false">IFERROR(J97*I97/100,0)</f>
        <v>0</v>
      </c>
      <c r="L97" s="9"/>
      <c r="M97" s="9"/>
      <c r="N97" s="9"/>
      <c r="O97" s="9"/>
      <c r="P97" s="9"/>
      <c r="Q97" s="15" t="n">
        <f aca="false">IFERROR(I97-K97-L97-N97-P97,0)</f>
        <v>0</v>
      </c>
      <c r="R97" s="9"/>
      <c r="S97" s="9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3" t="n">
        <f aca="false">IFERROR(J98*I98/100,0)</f>
        <v>0</v>
      </c>
      <c r="L98" s="12"/>
      <c r="M98" s="12"/>
      <c r="N98" s="12"/>
      <c r="O98" s="12"/>
      <c r="P98" s="12"/>
      <c r="Q98" s="16" t="n">
        <f aca="false">IFERROR(I98-K98-L98-N98-P98,0)</f>
        <v>0</v>
      </c>
      <c r="R98" s="12"/>
      <c r="S98" s="12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10" t="n">
        <f aca="false">IFERROR(J99*I99/100,0)</f>
        <v>0</v>
      </c>
      <c r="L99" s="9"/>
      <c r="M99" s="9"/>
      <c r="N99" s="9"/>
      <c r="O99" s="9"/>
      <c r="P99" s="9"/>
      <c r="Q99" s="15" t="n">
        <f aca="false">IFERROR(I99-K99-L99-N99-P99,0)</f>
        <v>0</v>
      </c>
      <c r="R99" s="9"/>
      <c r="S99" s="9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3" t="n">
        <f aca="false">IFERROR(J100*I100/100,0)</f>
        <v>0</v>
      </c>
      <c r="L100" s="12"/>
      <c r="M100" s="12"/>
      <c r="N100" s="12"/>
      <c r="O100" s="12"/>
      <c r="P100" s="12"/>
      <c r="Q100" s="16" t="n">
        <f aca="false">IFERROR(I100-K100-L100-N100-P100,0)</f>
        <v>0</v>
      </c>
      <c r="R100" s="12"/>
      <c r="S100" s="12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0" t="n">
        <f aca="false">IFERROR(J101*I101/100,0)</f>
        <v>0</v>
      </c>
      <c r="L101" s="9"/>
      <c r="M101" s="9"/>
      <c r="N101" s="9"/>
      <c r="O101" s="9"/>
      <c r="P101" s="9"/>
      <c r="Q101" s="15" t="n">
        <f aca="false">IFERROR(I101-K101-L101-N101-P101,0)</f>
        <v>0</v>
      </c>
      <c r="R101" s="9"/>
      <c r="S101" s="9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3" t="n">
        <f aca="false">IFERROR(J102*I102/100,0)</f>
        <v>0</v>
      </c>
      <c r="L102" s="12"/>
      <c r="M102" s="12"/>
      <c r="N102" s="12"/>
      <c r="O102" s="12"/>
      <c r="P102" s="12"/>
      <c r="Q102" s="16" t="n">
        <f aca="false">IFERROR(I102-K102-L102-N102-P102,0)</f>
        <v>0</v>
      </c>
      <c r="R102" s="12"/>
      <c r="S102" s="12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0" t="n">
        <f aca="false">IFERROR(J103*I103/100,0)</f>
        <v>0</v>
      </c>
      <c r="L103" s="9"/>
      <c r="M103" s="9"/>
      <c r="N103" s="9"/>
      <c r="O103" s="9"/>
      <c r="P103" s="9"/>
      <c r="Q103" s="15" t="n">
        <f aca="false">IFERROR(I103-K103-L103-N103-P103,0)</f>
        <v>0</v>
      </c>
      <c r="R103" s="9"/>
      <c r="S103" s="9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3" t="n">
        <f aca="false">IFERROR(J104*I104/100,0)</f>
        <v>0</v>
      </c>
      <c r="L104" s="12"/>
      <c r="M104" s="12"/>
      <c r="N104" s="12"/>
      <c r="O104" s="12"/>
      <c r="P104" s="12"/>
      <c r="Q104" s="16" t="n">
        <f aca="false">IFERROR(I104-K104-L104-N104-P104,0)</f>
        <v>0</v>
      </c>
      <c r="R104" s="12"/>
      <c r="S104" s="12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0" t="n">
        <f aca="false">IFERROR(J105*I105/100,0)</f>
        <v>0</v>
      </c>
      <c r="L105" s="9"/>
      <c r="M105" s="9"/>
      <c r="N105" s="9"/>
      <c r="O105" s="9"/>
      <c r="P105" s="9"/>
      <c r="Q105" s="15" t="n">
        <f aca="false">IFERROR(I105-K105-L105-N105-P105,0)</f>
        <v>0</v>
      </c>
      <c r="R105" s="9"/>
      <c r="S105" s="9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3" t="n">
        <f aca="false">IFERROR(J106*I106/100,0)</f>
        <v>0</v>
      </c>
      <c r="L106" s="12"/>
      <c r="M106" s="12"/>
      <c r="N106" s="12"/>
      <c r="O106" s="12"/>
      <c r="P106" s="12"/>
      <c r="Q106" s="16" t="n">
        <f aca="false">IFERROR(I106-K106-L106-N106-P106,0)</f>
        <v>0</v>
      </c>
      <c r="R106" s="12"/>
      <c r="S106" s="12"/>
    </row>
  </sheetData>
  <mergeCells count="4">
    <mergeCell ref="A1:S1"/>
    <mergeCell ref="A2:S2"/>
    <mergeCell ref="A3:S3"/>
    <mergeCell ref="A4:S4"/>
  </mergeCells>
  <dataValidations count="3">
    <dataValidation allowBlank="false" errorStyle="stop" operator="between" showDropDown="false" showErrorMessage="false" showInputMessage="false" sqref="M7:M110" type="list">
      <formula1>"YES,NO"</formula1>
      <formula2>0</formula2>
    </dataValidation>
    <dataValidation allowBlank="false" errorStyle="stop" operator="between" showDropDown="false" showErrorMessage="false" showInputMessage="false" sqref="O7:O110" type="list">
      <formula1>"YES,NO"</formula1>
      <formula2>0</formula2>
    </dataValidation>
    <dataValidation allowBlank="false" errorStyle="stop" operator="between" showDropDown="false" showErrorMessage="false" showInputMessage="false" sqref="R7:R110" type="list">
      <formula1>"Pending,Settled,Disputed,Cancelled"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2026-03-29T22:45:53Z</dcterms:created>
  <dc:creator>openpyxl</dc:creator>
  <dc:description/>
  <dc:language>en-US</dc:language>
  <cp:lastModifiedBy/>
  <dcterms:modified xsi:type="dcterms:W3CDTF">2026-03-29T22:45:54Z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