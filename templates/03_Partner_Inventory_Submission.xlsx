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_ME_FIRST" sheetId="1" state="visible" r:id="rId3"/>
    <sheet name="2_Partner_Profile" sheetId="2" state="visible" r:id="rId4"/>
    <sheet name="3_Product_Submission" sheetId="3" state="visible" r:id="rId5"/>
    <sheet name="4_Opening_Stock" sheetId="4" state="visible" r:id="rId6"/>
    <sheet name="5_Pricing_and_Margi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<sst xmlns="http://schemas.openxmlformats.org/spreadsheetml/2006/main" count="374" uniqueCount="297">
  <si>
    <t xml:space="preserve">  DAWABAG PARTNER PORTAL — INVENTORY SUBMISSION GUIDE</t>
  </si>
  <si>
    <t xml:space="preserve">  For approved Dawabag marketplace partners  |  Fill all sheets then email to partner@dawabag.in</t>
  </si>
  <si>
    <t xml:space="preserve">SHEET</t>
  </si>
  <si>
    <t xml:space="preserve">WHAT TO FILL</t>
  </si>
  <si>
    <t xml:space="preserve">WHO FILLS</t>
  </si>
  <si>
    <t xml:space="preserve">Sheet 2 - Partner Profile</t>
  </si>
  <si>
    <t xml:space="preserve">Business details drug license GST bank commission terms</t>
  </si>
  <si>
    <t xml:space="preserve">Owner</t>
  </si>
  <si>
    <t xml:space="preserve">Sheet 3 - Product Submission</t>
  </si>
  <si>
    <t xml:space="preserve">Full list of medicines you want posted on portal</t>
  </si>
  <si>
    <t xml:space="preserve">Pharmacist or Owner</t>
  </si>
  <si>
    <t xml:space="preserve">Sheet 4 - Opening Stock</t>
  </si>
  <si>
    <t xml:space="preserve">Current stock batch expiry qty for each product</t>
  </si>
  <si>
    <t xml:space="preserve">Pharmacist</t>
  </si>
  <si>
    <t xml:space="preserve">Sheet 5 - Pricing and Margin</t>
  </si>
  <si>
    <t xml:space="preserve">Your supply price to Dawabag and margin details</t>
  </si>
  <si>
    <t xml:space="preserve">MANDATORY RULES</t>
  </si>
  <si>
    <t xml:space="preserve">Rule 1</t>
  </si>
  <si>
    <t xml:space="preserve">Only submit products currently in stock with valid expiry</t>
  </si>
  <si>
    <t xml:space="preserve">Rule 2</t>
  </si>
  <si>
    <t xml:space="preserve">Drug schedule must match product label exactly</t>
  </si>
  <si>
    <t xml:space="preserve">Rule 3</t>
  </si>
  <si>
    <t xml:space="preserve">Batch number AND expiry date are mandatory</t>
  </si>
  <si>
    <t xml:space="preserve">Rule 4</t>
  </si>
  <si>
    <t xml:space="preserve">Expiry must be MINIMUM 6 MONTHS from today</t>
  </si>
  <si>
    <t xml:space="preserve">Rule 5</t>
  </si>
  <si>
    <t xml:space="preserve">HSN code must be 8-digit code from product carton</t>
  </si>
  <si>
    <t xml:space="preserve">Rule 6</t>
  </si>
  <si>
    <t xml:space="preserve">Supply price must be at or below PTR</t>
  </si>
  <si>
    <t xml:space="preserve">Rule 7</t>
  </si>
  <si>
    <t xml:space="preserve">NDPS and Schedule X drugs CANNOT be submitted</t>
  </si>
  <si>
    <t xml:space="preserve">Rule 8</t>
  </si>
  <si>
    <t xml:space="preserve">Do NOT change column headings</t>
  </si>
  <si>
    <t xml:space="preserve">SUBMISSION STEPS</t>
  </si>
  <si>
    <t xml:space="preserve">Step 1</t>
  </si>
  <si>
    <t xml:space="preserve">Fill all 4 sheets completely</t>
  </si>
  <si>
    <t xml:space="preserve">Step 2</t>
  </si>
  <si>
    <t xml:space="preserve">Email to partner@dawabag.in with subject Inventory and your business name</t>
  </si>
  <si>
    <t xml:space="preserve">Step 3</t>
  </si>
  <si>
    <t xml:space="preserve">Dawabag team reviews within 2-3 working days and approves or rejects each product individually</t>
  </si>
  <si>
    <t xml:space="preserve">Step 4</t>
  </si>
  <si>
    <t xml:space="preserve">Approved products go live on portal tagged to your pincode</t>
  </si>
  <si>
    <t xml:space="preserve">Step 5</t>
  </si>
  <si>
    <t xml:space="preserve">Update stock weekly by resubmitting Sheet 4 only</t>
  </si>
  <si>
    <t xml:space="preserve">  DAWABAG — PARTNER PROFILE — BUSINESS AND LICENSE DETAILS</t>
  </si>
  <si>
    <t xml:space="preserve">  Fill every mandatory field. Used for KYC, drug license verification, GST compliance, and bank settlement.</t>
  </si>
  <si>
    <t xml:space="preserve">  * = Mandatory  |  Do NOT change column headings  |  Fill completely before submitting</t>
  </si>
  <si>
    <t xml:space="preserve">  Submitted by: _______________   Date: 29 Mar 2026</t>
  </si>
  <si>
    <t xml:space="preserve">* Field</t>
  </si>
  <si>
    <t xml:space="preserve">* Your Answer</t>
  </si>
  <si>
    <t xml:space="preserve">Notes</t>
  </si>
  <si>
    <t xml:space="preserve">--- A — BUSINESS IDENTITY ---</t>
  </si>
  <si>
    <t xml:space="preserve">* Registered Business Name</t>
  </si>
  <si>
    <t xml:space="preserve">Full legal name as on drug license</t>
  </si>
  <si>
    <t xml:space="preserve">* Trade Name if different</t>
  </si>
  <si>
    <t xml:space="preserve">Name shown to customers on Dawabag</t>
  </si>
  <si>
    <t xml:space="preserve">* Business Type</t>
  </si>
  <si>
    <t xml:space="preserve">Sole Proprietorship or Partnership or Pvt Ltd or LLP</t>
  </si>
  <si>
    <t xml:space="preserve">* Owner or Authorised Person Name</t>
  </si>
  <si>
    <t xml:space="preserve">Person signing partner agreement</t>
  </si>
  <si>
    <t xml:space="preserve">* Mobile Number becomes login ID</t>
  </si>
  <si>
    <t xml:space="preserve">10-digit mobile</t>
  </si>
  <si>
    <t xml:space="preserve">* Business Email</t>
  </si>
  <si>
    <t xml:space="preserve">For orders invoices settlement statements</t>
  </si>
  <si>
    <t xml:space="preserve">Year of Establishment</t>
  </si>
  <si>
    <t xml:space="preserve">e.g. 2015</t>
  </si>
  <si>
    <t xml:space="preserve">--- B — LICENCE AND COMPLIANCE ---</t>
  </si>
  <si>
    <t xml:space="preserve">* Retail Drug License No DL-20 or 21</t>
  </si>
  <si>
    <t xml:space="preserve">e.g. MH/NAS/2020/RDL/0089</t>
  </si>
  <si>
    <t xml:space="preserve">Wholesale Drug License No DL-20C or 21C</t>
  </si>
  <si>
    <t xml:space="preserve">Fill if you have wholesale license</t>
  </si>
  <si>
    <t xml:space="preserve">* Drug License Expiry Date</t>
  </si>
  <si>
    <t xml:space="preserve">DD/MM/YYYY</t>
  </si>
  <si>
    <t xml:space="preserve">* GST Number GSTIN</t>
  </si>
  <si>
    <t xml:space="preserve">15-digit e.g. 27AABCS1234M1Z5</t>
  </si>
  <si>
    <t xml:space="preserve">GST Type</t>
  </si>
  <si>
    <t xml:space="preserve">Regular or Composition or Unregistered</t>
  </si>
  <si>
    <t xml:space="preserve">* PAN Number</t>
  </si>
  <si>
    <t xml:space="preserve">10-character PAN</t>
  </si>
  <si>
    <t xml:space="preserve">FSSAI License No</t>
  </si>
  <si>
    <t xml:space="preserve">Optional for food supplements only</t>
  </si>
  <si>
    <t xml:space="preserve">--- C — PREMISES AND COVERAGE ---</t>
  </si>
  <si>
    <t xml:space="preserve">* Pharmacy Address Line 1</t>
  </si>
  <si>
    <t xml:space="preserve">Building number and street</t>
  </si>
  <si>
    <t xml:space="preserve">Address Line 2</t>
  </si>
  <si>
    <t xml:space="preserve">Landmark or area</t>
  </si>
  <si>
    <t xml:space="preserve">* City</t>
  </si>
  <si>
    <t xml:space="preserve">e.g. Nashik</t>
  </si>
  <si>
    <t xml:space="preserve">* State</t>
  </si>
  <si>
    <t xml:space="preserve">e.g. Maharashtra</t>
  </si>
  <si>
    <t xml:space="preserve">* Primary Pincode</t>
  </si>
  <si>
    <t xml:space="preserve">6-digit main service pincode</t>
  </si>
  <si>
    <t xml:space="preserve">Additional Pincodes you can service</t>
  </si>
  <si>
    <t xml:space="preserve">Comma separated e.g. 422001 422003</t>
  </si>
  <si>
    <t xml:space="preserve">* Max delivery radius km</t>
  </si>
  <si>
    <t xml:space="preserve">e.g. 10 km from your shop</t>
  </si>
  <si>
    <t xml:space="preserve">Own delivery or need Dawabag courier</t>
  </si>
  <si>
    <t xml:space="preserve">OWN DELIVERY or NEED DAWABAG COURIER</t>
  </si>
  <si>
    <t xml:space="preserve">--- D — MEDICINE CATEGORIES ---</t>
  </si>
  <si>
    <t xml:space="preserve">Categories of medicines you stock</t>
  </si>
  <si>
    <t xml:space="preserve">e.g. Diabetic Cardiac Antibiotic OTC</t>
  </si>
  <si>
    <t xml:space="preserve">Do you stock cold chain medicines</t>
  </si>
  <si>
    <t xml:space="preserve">YES or NO</t>
  </si>
  <si>
    <t xml:space="preserve">Cold storage capacity if YES</t>
  </si>
  <si>
    <t xml:space="preserve">e.g. 2-8 deg C refrigerator 50 litres</t>
  </si>
  <si>
    <t xml:space="preserve">Approx monthly sales turnover Rs</t>
  </si>
  <si>
    <t xml:space="preserve">e.g. Rs.5 00 000 per month</t>
  </si>
  <si>
    <t xml:space="preserve">No of products to list initially</t>
  </si>
  <si>
    <t xml:space="preserve">Approximate no of SKUs</t>
  </si>
  <si>
    <t xml:space="preserve">--- E — BANK DETAILS FOR SETTLEMENT ---</t>
  </si>
  <si>
    <t xml:space="preserve">* Bank Name</t>
  </si>
  <si>
    <t xml:space="preserve">e.g. HDFC Bank</t>
  </si>
  <si>
    <t xml:space="preserve">* Account Holder Name</t>
  </si>
  <si>
    <t xml:space="preserve">Exactly as registered with bank</t>
  </si>
  <si>
    <t xml:space="preserve">* Bank Account Number</t>
  </si>
  <si>
    <t xml:space="preserve">10-18 digit</t>
  </si>
  <si>
    <t xml:space="preserve">* IFSC Code</t>
  </si>
  <si>
    <t xml:space="preserve">11-character e.g. HDFC0001234</t>
  </si>
  <si>
    <t xml:space="preserve">Account Type</t>
  </si>
  <si>
    <t xml:space="preserve">Current or Savings</t>
  </si>
  <si>
    <t xml:space="preserve">--- F — COMMISSION AGREEMENT ---</t>
  </si>
  <si>
    <t xml:space="preserve">* Commission rate agreed percent</t>
  </si>
  <si>
    <t xml:space="preserve">e.g. 8 means Dawabag keeps 8 percent</t>
  </si>
  <si>
    <t xml:space="preserve">* Customer Finding Fee Rs per order</t>
  </si>
  <si>
    <t xml:space="preserve">e.g. Rs.15 flat per fulfilled order</t>
  </si>
  <si>
    <t xml:space="preserve">* Settlement cycle agreed</t>
  </si>
  <si>
    <t xml:space="preserve">e.g. T+7 days after delivery confirmed</t>
  </si>
  <si>
    <t xml:space="preserve">* Agreement date</t>
  </si>
  <si>
    <t xml:space="preserve">* I confirm all details are accurate</t>
  </si>
  <si>
    <t xml:space="preserve">Write YES I CONFIRM - Your Name - Date</t>
  </si>
  <si>
    <t xml:space="preserve">  DAWABAG — PARTNER PRODUCT SUBMISSION LIST</t>
  </si>
  <si>
    <t xml:space="preserve">  List every medicine you want posted on Dawabag portal. ONE ROW PER SKU. Team reviews and approves or rejects each product individually.</t>
  </si>
  <si>
    <t xml:space="preserve">  * = Mandatory  |  One row per SKU  |  DO NOT change headings  |  Expiry min 6 months from today  |  Supply price at or below PTR</t>
  </si>
  <si>
    <t xml:space="preserve">* Medicine Name Brand</t>
  </si>
  <si>
    <t xml:space="preserve">* Generic Chemical Name</t>
  </si>
  <si>
    <t xml:space="preserve">* SKU Code</t>
  </si>
  <si>
    <t xml:space="preserve">* Category</t>
  </si>
  <si>
    <t xml:space="preserve">* Drug Schedule</t>
  </si>
  <si>
    <t xml:space="preserve">* Drug Form</t>
  </si>
  <si>
    <t xml:space="preserve">* Strength Pack Description</t>
  </si>
  <si>
    <t xml:space="preserve">* Marketed By Manufacturer</t>
  </si>
  <si>
    <t xml:space="preserve">* HSN Code 8-digit</t>
  </si>
  <si>
    <t xml:space="preserve">* GST Rate percent</t>
  </si>
  <si>
    <t xml:space="preserve">* MRP per unit Rs</t>
  </si>
  <si>
    <t xml:space="preserve">* Supply Price to Dawabag Rs</t>
  </si>
  <si>
    <t xml:space="preserve">Suggested Selling Price Rs</t>
  </si>
  <si>
    <t xml:space="preserve">* Cold Chain Required</t>
  </si>
  <si>
    <t xml:space="preserve">* Storage Condition</t>
  </si>
  <si>
    <t xml:space="preserve">* Unit Weight grams</t>
  </si>
  <si>
    <t xml:space="preserve">Min Order Qty</t>
  </si>
  <si>
    <t xml:space="preserve">Max Order Qty</t>
  </si>
  <si>
    <t xml:space="preserve">Prescription Required</t>
  </si>
  <si>
    <t xml:space="preserve">Remarks</t>
  </si>
  <si>
    <t xml:space="preserve">Brand name</t>
  </si>
  <si>
    <t xml:space="preserve">Generic name</t>
  </si>
  <si>
    <t xml:space="preserve">Your internal code</t>
  </si>
  <si>
    <t xml:space="preserve">e.g. Diabetic Cardiac</t>
  </si>
  <si>
    <t xml:space="preserve">OTC or Schedule H or H1</t>
  </si>
  <si>
    <t xml:space="preserve">Tablet Capsule Injection Syrup</t>
  </si>
  <si>
    <t xml:space="preserve">e.g. 500mg Strip of 15</t>
  </si>
  <si>
    <t xml:space="preserve">Manufacturer as on carton</t>
  </si>
  <si>
    <t xml:space="preserve">8-digit HSN from carton</t>
  </si>
  <si>
    <t xml:space="preserve">0 or 5 or 12 or 18</t>
  </si>
  <si>
    <t xml:space="preserve">MRP on pack</t>
  </si>
  <si>
    <t xml:space="preserve">Price you charge Dawabag at or below PTR</t>
  </si>
  <si>
    <t xml:space="preserve">Leave blank Dawabag sets it</t>
  </si>
  <si>
    <t xml:space="preserve">Room Temp or Refrigerated etc</t>
  </si>
  <si>
    <t xml:space="preserve">Weigh one strip or pack</t>
  </si>
  <si>
    <t xml:space="preserve">e.g. 1</t>
  </si>
  <si>
    <t xml:space="preserve">e.g. 5 max</t>
  </si>
  <si>
    <t xml:space="preserve">Metformin 500mg SR Tablet</t>
  </si>
  <si>
    <t xml:space="preserve">Metformin Hydrochloride</t>
  </si>
  <si>
    <t xml:space="preserve">MET500SR</t>
  </si>
  <si>
    <t xml:space="preserve">Diabetic</t>
  </si>
  <si>
    <t xml:space="preserve">Schedule H</t>
  </si>
  <si>
    <t xml:space="preserve">Tablet</t>
  </si>
  <si>
    <t xml:space="preserve">500mg Strip of 15 tabs</t>
  </si>
  <si>
    <t xml:space="preserve">Sun Pharma</t>
  </si>
  <si>
    <t xml:space="preserve">30049099</t>
  </si>
  <si>
    <t xml:space="preserve">NO</t>
  </si>
  <si>
    <t xml:space="preserve">Room Temperature 15-30 C</t>
  </si>
  <si>
    <t xml:space="preserve">YES</t>
  </si>
  <si>
    <t xml:space="preserve">Insulin Glargine 100IU/mL</t>
  </si>
  <si>
    <t xml:space="preserve">Insulin Glargine</t>
  </si>
  <si>
    <t xml:space="preserve">INSGL3ML</t>
  </si>
  <si>
    <t xml:space="preserve">Injection</t>
  </si>
  <si>
    <t xml:space="preserve">100IU per mL 3mL Vial</t>
  </si>
  <si>
    <t xml:space="preserve">Sanofi India</t>
  </si>
  <si>
    <t xml:space="preserve">Refrigerated 2-8 C</t>
  </si>
  <si>
    <t xml:space="preserve">Cold chain maintain 2-8 deg</t>
  </si>
  <si>
    <t xml:space="preserve">Vitamin D3 60000 IU</t>
  </si>
  <si>
    <t xml:space="preserve">Cholecalciferol</t>
  </si>
  <si>
    <t xml:space="preserve">VITD60K</t>
  </si>
  <si>
    <t xml:space="preserve">Vitamins</t>
  </si>
  <si>
    <t xml:space="preserve">OTC</t>
  </si>
  <si>
    <t xml:space="preserve">Capsule</t>
  </si>
  <si>
    <t xml:space="preserve">60000 IU Pack of 4</t>
  </si>
  <si>
    <t xml:space="preserve">Abbott India</t>
  </si>
  <si>
    <t xml:space="preserve">29362990</t>
  </si>
  <si>
    <t xml:space="preserve">Cool and Dry below 25 C</t>
  </si>
  <si>
    <t xml:space="preserve">Atorvastatin 10mg Tablet</t>
  </si>
  <si>
    <t xml:space="preserve">Atorvastatin Calcium</t>
  </si>
  <si>
    <t xml:space="preserve">ATO10TAB</t>
  </si>
  <si>
    <t xml:space="preserve">Cardiac</t>
  </si>
  <si>
    <t xml:space="preserve">10mg Strip of 15 tabs</t>
  </si>
  <si>
    <t xml:space="preserve">Cipla</t>
  </si>
  <si>
    <t xml:space="preserve">Paracetamol 500mg Tablet</t>
  </si>
  <si>
    <t xml:space="preserve">Paracetamol</t>
  </si>
  <si>
    <t xml:space="preserve">PARA500</t>
  </si>
  <si>
    <t xml:space="preserve">OTC General</t>
  </si>
  <si>
    <t xml:space="preserve">500mg Strip of 10 tabs</t>
  </si>
  <si>
    <t xml:space="preserve">GSK</t>
  </si>
  <si>
    <t xml:space="preserve">  DAWABAG — PARTNER OPENING STOCK — CURRENT INVENTORY</t>
  </si>
  <si>
    <t xml:space="preserve">  Current stock for each product submitted. ONE ROW PER BATCH. SKU must exactly match Sheet 3.</t>
  </si>
  <si>
    <t xml:space="preserve">  * = Mandatory  |  One row per BATCH  |  Expiry must be min 6 months from today  |  SKU must match Sheet 3 exactly</t>
  </si>
  <si>
    <t xml:space="preserve">* Medicine Name</t>
  </si>
  <si>
    <t xml:space="preserve">* Batch Number</t>
  </si>
  <si>
    <t xml:space="preserve">* Qty Available</t>
  </si>
  <si>
    <t xml:space="preserve">* Expiry Date MM/YYYY</t>
  </si>
  <si>
    <t xml:space="preserve">Mfg Date MM/YYYY</t>
  </si>
  <si>
    <t xml:space="preserve">* Purchase Price per unit Rs</t>
  </si>
  <si>
    <t xml:space="preserve">Vendor Supplier Name</t>
  </si>
  <si>
    <t xml:space="preserve">Purchase Bill Number</t>
  </si>
  <si>
    <t xml:space="preserve">Date Received DD/MM/YYYY</t>
  </si>
  <si>
    <t xml:space="preserve">Storage Location Rack</t>
  </si>
  <si>
    <t xml:space="preserve">Cold Chain Batch YES NO</t>
  </si>
  <si>
    <t xml:space="preserve">Exact match with Sheet 3 SKU</t>
  </si>
  <si>
    <t xml:space="preserve">Medicine name</t>
  </si>
  <si>
    <t xml:space="preserve">Batch no on carton</t>
  </si>
  <si>
    <t xml:space="preserve">Count actual units on shelf</t>
  </si>
  <si>
    <t xml:space="preserve">MM/YYYY e.g. 03/2027</t>
  </si>
  <si>
    <t xml:space="preserve">MM/YYYY e.g. 03/2024</t>
  </si>
  <si>
    <t xml:space="preserve">What you paid per unit</t>
  </si>
  <si>
    <t xml:space="preserve">Your supplier</t>
  </si>
  <si>
    <t xml:space="preserve">Your purchase invoice no</t>
  </si>
  <si>
    <t xml:space="preserve">DD/MM/YYYY received</t>
  </si>
  <si>
    <t xml:space="preserve">e.g. Rack A-3 or Cold Room 1</t>
  </si>
  <si>
    <t xml:space="preserve">YES for insulin vaccines</t>
  </si>
  <si>
    <t xml:space="preserve">BT2024-MET-001</t>
  </si>
  <si>
    <t xml:space="preserve">03/2027</t>
  </si>
  <si>
    <t xml:space="preserve">09/2024</t>
  </si>
  <si>
    <t xml:space="preserve">Sunrise Pharma</t>
  </si>
  <si>
    <t xml:space="preserve">INV-SP-2024-441</t>
  </si>
  <si>
    <t xml:space="preserve">15/01/2025</t>
  </si>
  <si>
    <t xml:space="preserve">Rack B-2</t>
  </si>
  <si>
    <t xml:space="preserve">BT2024-MET-002</t>
  </si>
  <si>
    <t xml:space="preserve">07/2027</t>
  </si>
  <si>
    <t xml:space="preserve">01/2025</t>
  </si>
  <si>
    <t xml:space="preserve">INV-SP-2025-012</t>
  </si>
  <si>
    <t xml:space="preserve">20/01/2025</t>
  </si>
  <si>
    <t xml:space="preserve">Newer batch dispatch older batch first FEFO</t>
  </si>
  <si>
    <t xml:space="preserve">BT2024-INS-018</t>
  </si>
  <si>
    <t xml:space="preserve">08/2026</t>
  </si>
  <si>
    <t xml:space="preserve">10/2024</t>
  </si>
  <si>
    <t xml:space="preserve">Apollo Medicals</t>
  </si>
  <si>
    <t xml:space="preserve">INV-AP-2024-188</t>
  </si>
  <si>
    <t xml:space="preserve">Cold Room 1</t>
  </si>
  <si>
    <t xml:space="preserve">Cold chain maintain 2-8 deg C</t>
  </si>
  <si>
    <t xml:space="preserve">BT2024-VIT-009</t>
  </si>
  <si>
    <t xml:space="preserve">12/2026</t>
  </si>
  <si>
    <t xml:space="preserve">08/2024</t>
  </si>
  <si>
    <t xml:space="preserve">Sun Pharma Depot</t>
  </si>
  <si>
    <t xml:space="preserve">INV-SUN-2024-210</t>
  </si>
  <si>
    <t xml:space="preserve">05/01/2025</t>
  </si>
  <si>
    <t xml:space="preserve">Rack C-4</t>
  </si>
  <si>
    <t xml:space="preserve">BT2025-ATO-001</t>
  </si>
  <si>
    <t xml:space="preserve">05/2027</t>
  </si>
  <si>
    <t xml:space="preserve">11/2024</t>
  </si>
  <si>
    <t xml:space="preserve">Cipla Depot</t>
  </si>
  <si>
    <t xml:space="preserve">INV-CIP-2025-001</t>
  </si>
  <si>
    <t xml:space="preserve">10/01/2025</t>
  </si>
  <si>
    <t xml:space="preserve">Rack A-1</t>
  </si>
  <si>
    <t xml:space="preserve">BT2024-PAR-033</t>
  </si>
  <si>
    <t xml:space="preserve">06/2027</t>
  </si>
  <si>
    <t xml:space="preserve">GSK Depot</t>
  </si>
  <si>
    <t xml:space="preserve">INV-GSK-2024-320</t>
  </si>
  <si>
    <t xml:space="preserve">01/01/2025</t>
  </si>
  <si>
    <t xml:space="preserve">Rack D-1</t>
  </si>
  <si>
    <t xml:space="preserve">TOTAL SUBMITTED STOCK VALUE Rs</t>
  </si>
  <si>
    <t xml:space="preserve">  DAWABAG — PARTNER PRICING AND MARGIN SHEET</t>
  </si>
  <si>
    <t xml:space="preserve">  Declare supply price to Dawabag for each product. Dawabag sets the final portal selling price. Supply price must be at or below PTR.</t>
  </si>
  <si>
    <t xml:space="preserve">  * = Mandatory  |  Supply price = what you bill Dawabag on your B2B invoice  |  Must be at or below PTR typically 10-20 percent below MRP</t>
  </si>
  <si>
    <t xml:space="preserve">Discount off MRP percent</t>
  </si>
  <si>
    <t xml:space="preserve">Can Dawabag offer further discount</t>
  </si>
  <si>
    <t xml:space="preserve">Min acceptable selling price Rs</t>
  </si>
  <si>
    <t xml:space="preserve">Bulk price break details</t>
  </si>
  <si>
    <t xml:space="preserve">Match Sheet 3 SKU</t>
  </si>
  <si>
    <t xml:space="preserve">Price you bill Dawabag at or below PTR</t>
  </si>
  <si>
    <t xml:space="preserve">Leave blank Dawabag decides</t>
  </si>
  <si>
    <t xml:space="preserve">Auto = MRP minus Supply divided by MRP x 100</t>
  </si>
  <si>
    <t xml:space="preserve">Min price you will accept</t>
  </si>
  <si>
    <t xml:space="preserve">e.g. Rs.36 per strip if qty above 100</t>
  </si>
  <si>
    <t xml:space="preserve">Rs.38 per strip if 100+ strips</t>
  </si>
  <si>
    <t xml:space="preserve">Standard PTR with bulk scheme</t>
  </si>
  <si>
    <t xml:space="preserve">Cold chain fixed supply price no discount</t>
  </si>
  <si>
    <t xml:space="preserve">Rs.85 for 50+ packs</t>
  </si>
  <si>
    <t xml:space="preserve">High volume OTC fast moving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</si>
</sst>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44444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C447C"/>
      <name val="Arial"/>
      <family val="0"/>
      <charset val="1"/>
    </font>
    <font>
      <sz val="10"/>
      <color rgb="FF444441"/>
      <name val="Arial"/>
      <family val="0"/>
      <charset val="1"/>
    </font>
    <font>
      <sz val="10"/>
      <color rgb="FF791F1F"/>
      <name val="Arial"/>
      <family val="0"/>
      <charset val="1"/>
    </font>
    <font>
      <sz val="10"/>
      <color rgb="FF1A8856"/>
      <name val="Arial"/>
      <family val="0"/>
      <charset val="1"/>
    </font>
    <font>
      <b val="true"/>
      <sz val="9"/>
      <color rgb="FF856404"/>
      <name val="Arial"/>
      <family val="0"/>
      <charset val="1"/>
    </font>
    <font>
      <sz val="9"/>
      <color rgb="FF888780"/>
      <name val="Arial"/>
      <family val="0"/>
      <charset val="1"/>
    </font>
    <font>
      <b val="true"/>
      <sz val="10"/>
      <color rgb="FFFFD700"/>
      <name val="Arial"/>
      <family val="0"/>
      <charset val="1"/>
    </font>
    <font>
      <i val="true"/>
      <sz val="9"/>
      <color rgb="FF5F5E5A"/>
      <name val="Arial"/>
      <family val="0"/>
      <charset val="1"/>
    </font>
    <font>
      <b val="true"/>
      <sz val="10"/>
      <color rgb="FF0C447C"/>
      <name val="Arial"/>
      <family val="0"/>
      <charset val="1"/>
    </font>
    <font>
      <b val="true"/>
      <sz val="11"/>
      <color rgb="FF0C447C"/>
      <name val="Arial"/>
      <family val="0"/>
      <charset val="1"/>
    </font>
    <font>
      <b val="true"/>
      <sz val="10"/>
      <color rgb="FF12684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C447C"/>
        <bgColor rgb="FF333399"/>
      </patternFill>
    </fill>
    <fill>
      <patternFill patternType="solid">
        <fgColor rgb="FFE6F1FB"/>
        <bgColor rgb="FFE8F4FD"/>
      </patternFill>
    </fill>
    <fill>
      <patternFill patternType="solid">
        <fgColor rgb="FFFFFFFF"/>
        <bgColor rgb="FFF0F8FF"/>
      </patternFill>
    </fill>
    <fill>
      <patternFill patternType="solid">
        <fgColor rgb="FF791F1F"/>
        <bgColor rgb="FF800000"/>
      </patternFill>
    </fill>
    <fill>
      <patternFill patternType="solid">
        <fgColor rgb="FFFCEBEB"/>
        <bgColor rgb="FFFFF3CD"/>
      </patternFill>
    </fill>
    <fill>
      <patternFill patternType="solid">
        <fgColor rgb="FF1A8856"/>
        <bgColor rgb="FF008080"/>
      </patternFill>
    </fill>
    <fill>
      <patternFill patternType="solid">
        <fgColor rgb="FFEDFAF4"/>
        <bgColor rgb="FFF0F8FF"/>
      </patternFill>
    </fill>
    <fill>
      <patternFill patternType="solid">
        <fgColor rgb="FFFFF3CD"/>
        <bgColor rgb="FFFCEBEB"/>
      </patternFill>
    </fill>
    <fill>
      <patternFill patternType="solid">
        <fgColor rgb="FFF0F8FF"/>
        <bgColor rgb="FFEDFAF4"/>
      </patternFill>
    </fill>
    <fill>
      <patternFill patternType="solid">
        <fgColor rgb="FFE8F4FD"/>
        <bgColor rgb="FFE6F1F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8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8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6840"/>
      <rgbColor rgb="FF000080"/>
      <rgbColor rgb="FF856404"/>
      <rgbColor rgb="FF800080"/>
      <rgbColor rgb="FF008080"/>
      <rgbColor rgb="FFCCCCCC"/>
      <rgbColor rgb="FF888780"/>
      <rgbColor rgb="FF9999FF"/>
      <rgbColor rgb="FF993366"/>
      <rgbColor rgb="FFFFF3CD"/>
      <rgbColor rgb="FFE8F4FD"/>
      <rgbColor rgb="FF660066"/>
      <rgbColor rgb="FFFF8080"/>
      <rgbColor rgb="FF0066CC"/>
      <rgbColor rgb="FFF0F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EDFAF4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6600"/>
      <rgbColor rgb="FF5F5E5A"/>
      <rgbColor rgb="FF969696"/>
      <rgbColor rgb="FF0C447C"/>
      <rgbColor rgb="FF1A8856"/>
      <rgbColor rgb="FF003300"/>
      <rgbColor rgb="FF333300"/>
      <rgbColor rgb="FF791F1F"/>
      <rgbColor rgb="FF993366"/>
      <rgbColor rgb="FF333399"/>
      <rgbColor rgb="FF4444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2"/>
    <col collapsed="false" customWidth="true" hidden="false" outlineLevel="0" max="4" min="4" style="1" width="20"/>
  </cols>
  <sheetData>
    <row r="1" customFormat="false" ht="39.75" hidden="false" customHeight="true" outlineLevel="0" collapsed="false">
      <c r="A1" s="2" t="s">
        <v>0</v>
      </c>
      <c r="B1" s="2"/>
      <c r="C1" s="2"/>
      <c r="D1" s="2"/>
    </row>
    <row r="2" customFormat="false" ht="21.75" hidden="false" customHeight="true" outlineLevel="0" collapsed="false">
      <c r="A2" s="3" t="s">
        <v>1</v>
      </c>
      <c r="B2" s="3"/>
      <c r="C2" s="3"/>
      <c r="D2" s="3"/>
    </row>
    <row r="4" customFormat="false" ht="27.75" hidden="false" customHeight="true" outlineLevel="0" collapsed="false">
      <c r="A4" s="4"/>
      <c r="B4" s="4" t="s">
        <v>2</v>
      </c>
      <c r="C4" s="5" t="s">
        <v>3</v>
      </c>
      <c r="D4" s="5" t="s">
        <v>4</v>
      </c>
    </row>
    <row r="5" customFormat="false" ht="21.75" hidden="false" customHeight="true" outlineLevel="0" collapsed="false">
      <c r="A5" s="6"/>
      <c r="B5" s="6" t="s">
        <v>5</v>
      </c>
      <c r="C5" s="6" t="s">
        <v>6</v>
      </c>
      <c r="D5" s="6" t="s">
        <v>7</v>
      </c>
    </row>
    <row r="6" customFormat="false" ht="21.75" hidden="false" customHeight="true" outlineLevel="0" collapsed="false">
      <c r="A6" s="7"/>
      <c r="B6" s="7" t="s">
        <v>8</v>
      </c>
      <c r="C6" s="7" t="s">
        <v>9</v>
      </c>
      <c r="D6" s="7" t="s">
        <v>10</v>
      </c>
    </row>
    <row r="7" customFormat="false" ht="21.75" hidden="false" customHeight="true" outlineLevel="0" collapsed="false">
      <c r="A7" s="8"/>
      <c r="B7" s="8" t="s">
        <v>11</v>
      </c>
      <c r="C7" s="8" t="s">
        <v>12</v>
      </c>
      <c r="D7" s="8" t="s">
        <v>13</v>
      </c>
    </row>
    <row r="8" customFormat="false" ht="21.75" hidden="false" customHeight="true" outlineLevel="0" collapsed="false">
      <c r="A8" s="7"/>
      <c r="B8" s="7" t="s">
        <v>14</v>
      </c>
      <c r="C8" s="7" t="s">
        <v>15</v>
      </c>
      <c r="D8" s="7" t="s">
        <v>7</v>
      </c>
    </row>
    <row r="10" customFormat="false" ht="25.5" hidden="false" customHeight="true" outlineLevel="0" collapsed="false">
      <c r="A10" s="9"/>
      <c r="B10" s="9" t="s">
        <v>16</v>
      </c>
      <c r="C10" s="10"/>
      <c r="D10" s="10"/>
    </row>
    <row r="11" customFormat="false" ht="19.5" hidden="false" customHeight="true" outlineLevel="0" collapsed="false">
      <c r="A11" s="11"/>
      <c r="B11" s="11" t="s">
        <v>17</v>
      </c>
      <c r="C11" s="11" t="s">
        <v>18</v>
      </c>
      <c r="D11" s="11"/>
    </row>
    <row r="12" customFormat="false" ht="19.5" hidden="false" customHeight="true" outlineLevel="0" collapsed="false">
      <c r="A12" s="7"/>
      <c r="B12" s="7" t="s">
        <v>19</v>
      </c>
      <c r="C12" s="7" t="s">
        <v>20</v>
      </c>
      <c r="D12" s="7"/>
    </row>
    <row r="13" customFormat="false" ht="19.5" hidden="false" customHeight="true" outlineLevel="0" collapsed="false">
      <c r="A13" s="12"/>
      <c r="B13" s="12" t="s">
        <v>21</v>
      </c>
      <c r="C13" s="12" t="s">
        <v>22</v>
      </c>
      <c r="D13" s="12"/>
    </row>
    <row r="14" customFormat="false" ht="19.5" hidden="false" customHeight="true" outlineLevel="0" collapsed="false">
      <c r="A14" s="7"/>
      <c r="B14" s="7" t="s">
        <v>23</v>
      </c>
      <c r="C14" s="7" t="s">
        <v>24</v>
      </c>
      <c r="D14" s="7"/>
    </row>
    <row r="15" customFormat="false" ht="19.5" hidden="false" customHeight="true" outlineLevel="0" collapsed="false">
      <c r="A15" s="12"/>
      <c r="B15" s="12" t="s">
        <v>25</v>
      </c>
      <c r="C15" s="12" t="s">
        <v>26</v>
      </c>
      <c r="D15" s="12"/>
    </row>
    <row r="16" customFormat="false" ht="19.5" hidden="false" customHeight="true" outlineLevel="0" collapsed="false">
      <c r="A16" s="7"/>
      <c r="B16" s="7" t="s">
        <v>27</v>
      </c>
      <c r="C16" s="7" t="s">
        <v>28</v>
      </c>
      <c r="D16" s="7"/>
    </row>
    <row r="17" customFormat="false" ht="19.5" hidden="false" customHeight="true" outlineLevel="0" collapsed="false">
      <c r="A17" s="11"/>
      <c r="B17" s="11" t="s">
        <v>29</v>
      </c>
      <c r="C17" s="11" t="s">
        <v>30</v>
      </c>
      <c r="D17" s="11"/>
    </row>
    <row r="18" customFormat="false" ht="19.5" hidden="false" customHeight="true" outlineLevel="0" collapsed="false">
      <c r="A18" s="7"/>
      <c r="B18" s="7" t="s">
        <v>31</v>
      </c>
      <c r="C18" s="7" t="s">
        <v>32</v>
      </c>
      <c r="D18" s="7"/>
    </row>
    <row r="20" customFormat="false" ht="25.5" hidden="false" customHeight="true" outlineLevel="0" collapsed="false">
      <c r="A20" s="13"/>
      <c r="B20" s="13" t="s">
        <v>33</v>
      </c>
      <c r="C20" s="14"/>
      <c r="D20" s="14"/>
    </row>
    <row r="21" customFormat="false" ht="21.75" hidden="false" customHeight="true" outlineLevel="0" collapsed="false">
      <c r="A21" s="15"/>
      <c r="B21" s="15" t="s">
        <v>34</v>
      </c>
      <c r="C21" s="15" t="s">
        <v>35</v>
      </c>
      <c r="D21" s="15"/>
    </row>
    <row r="22" customFormat="false" ht="21.75" hidden="false" customHeight="true" outlineLevel="0" collapsed="false">
      <c r="A22" s="7"/>
      <c r="B22" s="7" t="s">
        <v>36</v>
      </c>
      <c r="C22" s="7" t="s">
        <v>37</v>
      </c>
      <c r="D22" s="7"/>
    </row>
    <row r="23" customFormat="false" ht="21.75" hidden="false" customHeight="true" outlineLevel="0" collapsed="false">
      <c r="A23" s="16"/>
      <c r="B23" s="16" t="s">
        <v>38</v>
      </c>
      <c r="C23" s="16" t="s">
        <v>39</v>
      </c>
      <c r="D23" s="16"/>
    </row>
    <row r="24" customFormat="false" ht="21.75" hidden="false" customHeight="true" outlineLevel="0" collapsed="false">
      <c r="A24" s="7"/>
      <c r="B24" s="7" t="s">
        <v>40</v>
      </c>
      <c r="C24" s="7" t="s">
        <v>41</v>
      </c>
      <c r="D24" s="7"/>
    </row>
    <row r="25" customFormat="false" ht="21.75" hidden="false" customHeight="true" outlineLevel="0" collapsed="false">
      <c r="A25" s="16"/>
      <c r="B25" s="16" t="s">
        <v>42</v>
      </c>
      <c r="C25" s="16" t="s">
        <v>43</v>
      </c>
      <c r="D25" s="16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48"/>
    <col collapsed="false" customWidth="true" hidden="false" outlineLevel="0" max="3" min="3" style="1" width="36"/>
  </cols>
  <sheetData>
    <row r="1" customFormat="false" ht="43.5" hidden="false" customHeight="true" outlineLevel="0" collapsed="false">
      <c r="A1" s="2" t="s">
        <v>44</v>
      </c>
      <c r="B1" s="2"/>
      <c r="C1" s="2"/>
    </row>
    <row r="2" customFormat="false" ht="21.75" hidden="false" customHeight="true" outlineLevel="0" collapsed="false">
      <c r="A2" s="17" t="s">
        <v>45</v>
      </c>
      <c r="B2" s="17"/>
      <c r="C2" s="17"/>
    </row>
    <row r="3" customFormat="false" ht="19.5" hidden="false" customHeight="true" outlineLevel="0" collapsed="false">
      <c r="A3" s="18" t="s">
        <v>46</v>
      </c>
      <c r="B3" s="18"/>
      <c r="C3" s="18"/>
    </row>
    <row r="4" customFormat="false" ht="13.5" hidden="false" customHeight="true" outlineLevel="0" collapsed="false">
      <c r="A4" s="19" t="s">
        <v>47</v>
      </c>
      <c r="B4" s="19"/>
      <c r="C4" s="19"/>
    </row>
    <row r="5" customFormat="false" ht="33.75" hidden="false" customHeight="true" outlineLevel="0" collapsed="false">
      <c r="A5" s="20" t="s">
        <v>48</v>
      </c>
      <c r="B5" s="20" t="s">
        <v>49</v>
      </c>
      <c r="C5" s="21" t="s">
        <v>50</v>
      </c>
    </row>
    <row r="6" customFormat="false" ht="24" hidden="false" customHeight="true" outlineLevel="0" collapsed="false">
      <c r="A6" s="4" t="s">
        <v>51</v>
      </c>
      <c r="B6" s="4"/>
      <c r="C6" s="4"/>
    </row>
    <row r="7" customFormat="false" ht="21.75" hidden="false" customHeight="true" outlineLevel="0" collapsed="false">
      <c r="A7" s="22" t="s">
        <v>52</v>
      </c>
      <c r="B7" s="22"/>
      <c r="C7" s="22" t="s">
        <v>53</v>
      </c>
    </row>
    <row r="8" customFormat="false" ht="21.75" hidden="false" customHeight="true" outlineLevel="0" collapsed="false">
      <c r="A8" s="6" t="s">
        <v>54</v>
      </c>
      <c r="B8" s="6"/>
      <c r="C8" s="6" t="s">
        <v>55</v>
      </c>
    </row>
    <row r="9" customFormat="false" ht="21.75" hidden="false" customHeight="true" outlineLevel="0" collapsed="false">
      <c r="A9" s="22" t="s">
        <v>56</v>
      </c>
      <c r="B9" s="22"/>
      <c r="C9" s="22" t="s">
        <v>57</v>
      </c>
    </row>
    <row r="10" customFormat="false" ht="21.75" hidden="false" customHeight="true" outlineLevel="0" collapsed="false">
      <c r="A10" s="6" t="s">
        <v>58</v>
      </c>
      <c r="B10" s="6"/>
      <c r="C10" s="6" t="s">
        <v>59</v>
      </c>
    </row>
    <row r="11" customFormat="false" ht="21.75" hidden="false" customHeight="true" outlineLevel="0" collapsed="false">
      <c r="A11" s="22" t="s">
        <v>60</v>
      </c>
      <c r="B11" s="22"/>
      <c r="C11" s="22" t="s">
        <v>61</v>
      </c>
    </row>
    <row r="12" customFormat="false" ht="21.75" hidden="false" customHeight="true" outlineLevel="0" collapsed="false">
      <c r="A12" s="6" t="s">
        <v>62</v>
      </c>
      <c r="B12" s="6"/>
      <c r="C12" s="6" t="s">
        <v>63</v>
      </c>
    </row>
    <row r="13" customFormat="false" ht="21.75" hidden="false" customHeight="true" outlineLevel="0" collapsed="false">
      <c r="A13" s="7" t="s">
        <v>64</v>
      </c>
      <c r="B13" s="7"/>
      <c r="C13" s="7" t="s">
        <v>65</v>
      </c>
    </row>
    <row r="14" customFormat="false" ht="24" hidden="false" customHeight="true" outlineLevel="0" collapsed="false">
      <c r="A14" s="4" t="s">
        <v>66</v>
      </c>
      <c r="B14" s="4"/>
      <c r="C14" s="4"/>
    </row>
    <row r="15" customFormat="false" ht="21.75" hidden="false" customHeight="true" outlineLevel="0" collapsed="false">
      <c r="A15" s="22" t="s">
        <v>67</v>
      </c>
      <c r="B15" s="22"/>
      <c r="C15" s="22" t="s">
        <v>68</v>
      </c>
    </row>
    <row r="16" customFormat="false" ht="21.75" hidden="false" customHeight="true" outlineLevel="0" collapsed="false">
      <c r="A16" s="8" t="s">
        <v>69</v>
      </c>
      <c r="B16" s="8"/>
      <c r="C16" s="8" t="s">
        <v>70</v>
      </c>
    </row>
    <row r="17" customFormat="false" ht="21.75" hidden="false" customHeight="true" outlineLevel="0" collapsed="false">
      <c r="A17" s="22" t="s">
        <v>71</v>
      </c>
      <c r="B17" s="22"/>
      <c r="C17" s="22" t="s">
        <v>72</v>
      </c>
    </row>
    <row r="18" customFormat="false" ht="21.75" hidden="false" customHeight="true" outlineLevel="0" collapsed="false">
      <c r="A18" s="6" t="s">
        <v>73</v>
      </c>
      <c r="B18" s="6"/>
      <c r="C18" s="6" t="s">
        <v>74</v>
      </c>
    </row>
    <row r="19" customFormat="false" ht="21.75" hidden="false" customHeight="true" outlineLevel="0" collapsed="false">
      <c r="A19" s="7" t="s">
        <v>75</v>
      </c>
      <c r="B19" s="7"/>
      <c r="C19" s="7" t="s">
        <v>76</v>
      </c>
    </row>
    <row r="20" customFormat="false" ht="21.75" hidden="false" customHeight="true" outlineLevel="0" collapsed="false">
      <c r="A20" s="6" t="s">
        <v>77</v>
      </c>
      <c r="B20" s="6"/>
      <c r="C20" s="6" t="s">
        <v>78</v>
      </c>
    </row>
    <row r="21" customFormat="false" ht="21.75" hidden="false" customHeight="true" outlineLevel="0" collapsed="false">
      <c r="A21" s="7" t="s">
        <v>79</v>
      </c>
      <c r="B21" s="7"/>
      <c r="C21" s="7" t="s">
        <v>80</v>
      </c>
    </row>
    <row r="22" customFormat="false" ht="24" hidden="false" customHeight="true" outlineLevel="0" collapsed="false">
      <c r="A22" s="4" t="s">
        <v>81</v>
      </c>
      <c r="B22" s="4"/>
      <c r="C22" s="4"/>
    </row>
    <row r="23" customFormat="false" ht="21.75" hidden="false" customHeight="true" outlineLevel="0" collapsed="false">
      <c r="A23" s="22" t="s">
        <v>82</v>
      </c>
      <c r="B23" s="22"/>
      <c r="C23" s="22" t="s">
        <v>83</v>
      </c>
    </row>
    <row r="24" customFormat="false" ht="21.75" hidden="false" customHeight="true" outlineLevel="0" collapsed="false">
      <c r="A24" s="8" t="s">
        <v>84</v>
      </c>
      <c r="B24" s="8"/>
      <c r="C24" s="8" t="s">
        <v>85</v>
      </c>
    </row>
    <row r="25" customFormat="false" ht="21.75" hidden="false" customHeight="true" outlineLevel="0" collapsed="false">
      <c r="A25" s="22" t="s">
        <v>86</v>
      </c>
      <c r="B25" s="22"/>
      <c r="C25" s="22" t="s">
        <v>87</v>
      </c>
    </row>
    <row r="26" customFormat="false" ht="21.75" hidden="false" customHeight="true" outlineLevel="0" collapsed="false">
      <c r="A26" s="6" t="s">
        <v>88</v>
      </c>
      <c r="B26" s="6"/>
      <c r="C26" s="6" t="s">
        <v>89</v>
      </c>
    </row>
    <row r="27" customFormat="false" ht="21.75" hidden="false" customHeight="true" outlineLevel="0" collapsed="false">
      <c r="A27" s="22" t="s">
        <v>90</v>
      </c>
      <c r="B27" s="22"/>
      <c r="C27" s="22" t="s">
        <v>91</v>
      </c>
    </row>
    <row r="28" customFormat="false" ht="21.75" hidden="false" customHeight="true" outlineLevel="0" collapsed="false">
      <c r="A28" s="8" t="s">
        <v>92</v>
      </c>
      <c r="B28" s="8"/>
      <c r="C28" s="8" t="s">
        <v>93</v>
      </c>
    </row>
    <row r="29" customFormat="false" ht="21.75" hidden="false" customHeight="true" outlineLevel="0" collapsed="false">
      <c r="A29" s="22" t="s">
        <v>94</v>
      </c>
      <c r="B29" s="22"/>
      <c r="C29" s="22" t="s">
        <v>95</v>
      </c>
    </row>
    <row r="30" customFormat="false" ht="21.75" hidden="false" customHeight="true" outlineLevel="0" collapsed="false">
      <c r="A30" s="8" t="s">
        <v>96</v>
      </c>
      <c r="B30" s="8"/>
      <c r="C30" s="8" t="s">
        <v>97</v>
      </c>
    </row>
    <row r="31" customFormat="false" ht="24" hidden="false" customHeight="true" outlineLevel="0" collapsed="false">
      <c r="A31" s="4" t="s">
        <v>98</v>
      </c>
      <c r="B31" s="4"/>
      <c r="C31" s="4"/>
    </row>
    <row r="32" customFormat="false" ht="21.75" hidden="false" customHeight="true" outlineLevel="0" collapsed="false">
      <c r="A32" s="8" t="s">
        <v>99</v>
      </c>
      <c r="B32" s="8"/>
      <c r="C32" s="8" t="s">
        <v>100</v>
      </c>
    </row>
    <row r="33" customFormat="false" ht="21.75" hidden="false" customHeight="true" outlineLevel="0" collapsed="false">
      <c r="A33" s="7" t="s">
        <v>101</v>
      </c>
      <c r="B33" s="7"/>
      <c r="C33" s="7" t="s">
        <v>102</v>
      </c>
    </row>
    <row r="34" customFormat="false" ht="21.75" hidden="false" customHeight="true" outlineLevel="0" collapsed="false">
      <c r="A34" s="8" t="s">
        <v>103</v>
      </c>
      <c r="B34" s="8"/>
      <c r="C34" s="8" t="s">
        <v>104</v>
      </c>
    </row>
    <row r="35" customFormat="false" ht="21.75" hidden="false" customHeight="true" outlineLevel="0" collapsed="false">
      <c r="A35" s="7" t="s">
        <v>105</v>
      </c>
      <c r="B35" s="7"/>
      <c r="C35" s="7" t="s">
        <v>106</v>
      </c>
    </row>
    <row r="36" customFormat="false" ht="21.75" hidden="false" customHeight="true" outlineLevel="0" collapsed="false">
      <c r="A36" s="8" t="s">
        <v>107</v>
      </c>
      <c r="B36" s="8"/>
      <c r="C36" s="8" t="s">
        <v>108</v>
      </c>
    </row>
    <row r="37" customFormat="false" ht="24" hidden="false" customHeight="true" outlineLevel="0" collapsed="false">
      <c r="A37" s="4" t="s">
        <v>109</v>
      </c>
      <c r="B37" s="4"/>
      <c r="C37" s="4"/>
    </row>
    <row r="38" customFormat="false" ht="21.75" hidden="false" customHeight="true" outlineLevel="0" collapsed="false">
      <c r="A38" s="6" t="s">
        <v>110</v>
      </c>
      <c r="B38" s="6"/>
      <c r="C38" s="6" t="s">
        <v>111</v>
      </c>
    </row>
    <row r="39" customFormat="false" ht="21.75" hidden="false" customHeight="true" outlineLevel="0" collapsed="false">
      <c r="A39" s="22" t="s">
        <v>112</v>
      </c>
      <c r="B39" s="22"/>
      <c r="C39" s="22" t="s">
        <v>113</v>
      </c>
    </row>
    <row r="40" customFormat="false" ht="21.75" hidden="false" customHeight="true" outlineLevel="0" collapsed="false">
      <c r="A40" s="6" t="s">
        <v>114</v>
      </c>
      <c r="B40" s="6"/>
      <c r="C40" s="6" t="s">
        <v>115</v>
      </c>
    </row>
    <row r="41" customFormat="false" ht="21.75" hidden="false" customHeight="true" outlineLevel="0" collapsed="false">
      <c r="A41" s="22" t="s">
        <v>116</v>
      </c>
      <c r="B41" s="22"/>
      <c r="C41" s="22" t="s">
        <v>117</v>
      </c>
    </row>
    <row r="42" customFormat="false" ht="21.75" hidden="false" customHeight="true" outlineLevel="0" collapsed="false">
      <c r="A42" s="8" t="s">
        <v>118</v>
      </c>
      <c r="B42" s="8"/>
      <c r="C42" s="8" t="s">
        <v>119</v>
      </c>
    </row>
    <row r="43" customFormat="false" ht="24" hidden="false" customHeight="true" outlineLevel="0" collapsed="false">
      <c r="A43" s="4" t="s">
        <v>120</v>
      </c>
      <c r="B43" s="4"/>
      <c r="C43" s="4"/>
    </row>
    <row r="44" customFormat="false" ht="21.75" hidden="false" customHeight="true" outlineLevel="0" collapsed="false">
      <c r="A44" s="6" t="s">
        <v>121</v>
      </c>
      <c r="B44" s="6"/>
      <c r="C44" s="6" t="s">
        <v>122</v>
      </c>
    </row>
    <row r="45" customFormat="false" ht="21.75" hidden="false" customHeight="true" outlineLevel="0" collapsed="false">
      <c r="A45" s="22" t="s">
        <v>123</v>
      </c>
      <c r="B45" s="22"/>
      <c r="C45" s="22" t="s">
        <v>124</v>
      </c>
    </row>
    <row r="46" customFormat="false" ht="21.75" hidden="false" customHeight="true" outlineLevel="0" collapsed="false">
      <c r="A46" s="6" t="s">
        <v>125</v>
      </c>
      <c r="B46" s="6"/>
      <c r="C46" s="6" t="s">
        <v>126</v>
      </c>
    </row>
    <row r="47" customFormat="false" ht="21.75" hidden="false" customHeight="true" outlineLevel="0" collapsed="false">
      <c r="A47" s="22" t="s">
        <v>127</v>
      </c>
      <c r="B47" s="22"/>
      <c r="C47" s="22" t="s">
        <v>72</v>
      </c>
    </row>
    <row r="48" customFormat="false" ht="21.75" hidden="false" customHeight="true" outlineLevel="0" collapsed="false">
      <c r="A48" s="6" t="s">
        <v>128</v>
      </c>
      <c r="B48" s="6"/>
      <c r="C48" s="6" t="s">
        <v>129</v>
      </c>
    </row>
  </sheetData>
  <mergeCells count="4">
    <mergeCell ref="A1:C1"/>
    <mergeCell ref="A2:C2"/>
    <mergeCell ref="A3:C3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8"/>
    <col collapsed="false" customWidth="true" hidden="false" outlineLevel="0" max="4" min="3" style="1" width="20"/>
    <col collapsed="false" customWidth="true" hidden="false" outlineLevel="0" max="6" min="5" style="1" width="18"/>
    <col collapsed="false" customWidth="true" hidden="false" outlineLevel="0" max="7" min="7" style="1" width="24"/>
    <col collapsed="false" customWidth="true" hidden="false" outlineLevel="0" max="8" min="8" style="1" width="26"/>
    <col collapsed="false" customWidth="true" hidden="false" outlineLevel="0" max="9" min="9" style="1" width="18"/>
    <col collapsed="false" customWidth="true" hidden="false" outlineLevel="0" max="10" min="10" style="1" width="14"/>
    <col collapsed="false" customWidth="true" hidden="false" outlineLevel="0" max="11" min="11" style="1" width="18"/>
    <col collapsed="false" customWidth="true" hidden="false" outlineLevel="0" max="13" min="12" style="1" width="28"/>
    <col collapsed="false" customWidth="true" hidden="false" outlineLevel="0" max="14" min="14" style="1" width="20"/>
    <col collapsed="false" customWidth="true" hidden="false" outlineLevel="0" max="15" min="15" style="1" width="24"/>
    <col collapsed="false" customWidth="true" hidden="false" outlineLevel="0" max="16" min="16" style="1" width="22"/>
    <col collapsed="false" customWidth="true" hidden="false" outlineLevel="0" max="18" min="17" style="1" width="16"/>
    <col collapsed="false" customWidth="true" hidden="false" outlineLevel="0" max="19" min="19" style="1" width="20"/>
    <col collapsed="false" customWidth="true" hidden="false" outlineLevel="0" max="20" min="20" style="1" width="28"/>
  </cols>
  <sheetData>
    <row r="1" customFormat="false" ht="43.5" hidden="false" customHeight="true" outlineLevel="0" collapsed="false">
      <c r="A1" s="2" t="s">
        <v>130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21.75" hidden="false" customHeight="true" outlineLevel="0" collapsed="false">
      <c r="A2" s="17" t="s">
        <v>131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</row>
    <row r="3" customFormat="false" ht="19.5" hidden="false" customHeight="true" outlineLevel="0" collapsed="false">
      <c r="A3" s="18" t="s">
        <v>132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</row>
    <row r="4" customFormat="false" ht="13.5" hidden="false" customHeight="true" outlineLevel="0" collapsed="false">
      <c r="A4" s="19" t="s">
        <v>47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</row>
    <row r="5" customFormat="false" ht="33.75" hidden="false" customHeight="true" outlineLevel="0" collapsed="false">
      <c r="A5" s="20" t="s">
        <v>133</v>
      </c>
      <c r="B5" s="20" t="s">
        <v>134</v>
      </c>
      <c r="C5" s="20" t="s">
        <v>135</v>
      </c>
      <c r="D5" s="20" t="s">
        <v>136</v>
      </c>
      <c r="E5" s="20" t="s">
        <v>137</v>
      </c>
      <c r="F5" s="20" t="s">
        <v>138</v>
      </c>
      <c r="G5" s="20" t="s">
        <v>139</v>
      </c>
      <c r="H5" s="20" t="s">
        <v>140</v>
      </c>
      <c r="I5" s="20" t="s">
        <v>141</v>
      </c>
      <c r="J5" s="20" t="s">
        <v>142</v>
      </c>
      <c r="K5" s="20" t="s">
        <v>143</v>
      </c>
      <c r="L5" s="20" t="s">
        <v>144</v>
      </c>
      <c r="M5" s="21" t="s">
        <v>145</v>
      </c>
      <c r="N5" s="20" t="s">
        <v>146</v>
      </c>
      <c r="O5" s="20" t="s">
        <v>147</v>
      </c>
      <c r="P5" s="20" t="s">
        <v>148</v>
      </c>
      <c r="Q5" s="21" t="s">
        <v>149</v>
      </c>
      <c r="R5" s="21" t="s">
        <v>150</v>
      </c>
      <c r="S5" s="21" t="s">
        <v>151</v>
      </c>
      <c r="T5" s="21" t="s">
        <v>152</v>
      </c>
    </row>
    <row r="6" customFormat="false" ht="18" hidden="false" customHeight="true" outlineLevel="0" collapsed="false">
      <c r="A6" s="23" t="s">
        <v>153</v>
      </c>
      <c r="B6" s="23" t="s">
        <v>154</v>
      </c>
      <c r="C6" s="23" t="s">
        <v>155</v>
      </c>
      <c r="D6" s="23" t="s">
        <v>156</v>
      </c>
      <c r="E6" s="23" t="s">
        <v>157</v>
      </c>
      <c r="F6" s="23" t="s">
        <v>158</v>
      </c>
      <c r="G6" s="23" t="s">
        <v>159</v>
      </c>
      <c r="H6" s="23" t="s">
        <v>160</v>
      </c>
      <c r="I6" s="23" t="s">
        <v>161</v>
      </c>
      <c r="J6" s="23" t="s">
        <v>162</v>
      </c>
      <c r="K6" s="23" t="s">
        <v>163</v>
      </c>
      <c r="L6" s="23" t="s">
        <v>164</v>
      </c>
      <c r="M6" s="23" t="s">
        <v>165</v>
      </c>
      <c r="N6" s="23" t="s">
        <v>102</v>
      </c>
      <c r="O6" s="23" t="s">
        <v>166</v>
      </c>
      <c r="P6" s="23" t="s">
        <v>167</v>
      </c>
      <c r="Q6" s="23" t="s">
        <v>168</v>
      </c>
      <c r="R6" s="23" t="s">
        <v>169</v>
      </c>
      <c r="S6" s="23" t="s">
        <v>102</v>
      </c>
      <c r="T6" s="23" t="s">
        <v>50</v>
      </c>
    </row>
    <row r="7" customFormat="false" ht="21.75" hidden="false" customHeight="true" outlineLevel="0" collapsed="false">
      <c r="A7" s="24" t="s">
        <v>170</v>
      </c>
      <c r="B7" s="24" t="s">
        <v>171</v>
      </c>
      <c r="C7" s="24" t="s">
        <v>172</v>
      </c>
      <c r="D7" s="24" t="s">
        <v>173</v>
      </c>
      <c r="E7" s="24" t="s">
        <v>174</v>
      </c>
      <c r="F7" s="24" t="s">
        <v>175</v>
      </c>
      <c r="G7" s="24" t="s">
        <v>176</v>
      </c>
      <c r="H7" s="24" t="s">
        <v>177</v>
      </c>
      <c r="I7" s="24" t="s">
        <v>178</v>
      </c>
      <c r="J7" s="24" t="n">
        <v>12</v>
      </c>
      <c r="K7" s="24" t="n">
        <v>50</v>
      </c>
      <c r="L7" s="24" t="n">
        <v>40</v>
      </c>
      <c r="M7" s="24"/>
      <c r="N7" s="24" t="s">
        <v>179</v>
      </c>
      <c r="O7" s="24" t="s">
        <v>180</v>
      </c>
      <c r="P7" s="24" t="n">
        <v>35</v>
      </c>
      <c r="Q7" s="24" t="n">
        <v>1</v>
      </c>
      <c r="R7" s="24" t="n">
        <v>5</v>
      </c>
      <c r="S7" s="24" t="s">
        <v>181</v>
      </c>
      <c r="T7" s="24"/>
    </row>
    <row r="8" customFormat="false" ht="21.75" hidden="false" customHeight="true" outlineLevel="0" collapsed="false">
      <c r="A8" s="25" t="s">
        <v>182</v>
      </c>
      <c r="B8" s="25" t="s">
        <v>183</v>
      </c>
      <c r="C8" s="25" t="s">
        <v>184</v>
      </c>
      <c r="D8" s="25" t="s">
        <v>173</v>
      </c>
      <c r="E8" s="25" t="s">
        <v>174</v>
      </c>
      <c r="F8" s="25" t="s">
        <v>185</v>
      </c>
      <c r="G8" s="25" t="s">
        <v>186</v>
      </c>
      <c r="H8" s="25" t="s">
        <v>187</v>
      </c>
      <c r="I8" s="25" t="s">
        <v>178</v>
      </c>
      <c r="J8" s="25" t="n">
        <v>12</v>
      </c>
      <c r="K8" s="25" t="n">
        <v>720</v>
      </c>
      <c r="L8" s="25" t="n">
        <v>650</v>
      </c>
      <c r="M8" s="25"/>
      <c r="N8" s="25" t="s">
        <v>181</v>
      </c>
      <c r="O8" s="25" t="s">
        <v>188</v>
      </c>
      <c r="P8" s="25" t="n">
        <v>32</v>
      </c>
      <c r="Q8" s="25" t="n">
        <v>1</v>
      </c>
      <c r="R8" s="25" t="n">
        <v>2</v>
      </c>
      <c r="S8" s="25" t="s">
        <v>181</v>
      </c>
      <c r="T8" s="25" t="s">
        <v>189</v>
      </c>
    </row>
    <row r="9" customFormat="false" ht="21.75" hidden="false" customHeight="true" outlineLevel="0" collapsed="false">
      <c r="A9" s="24" t="s">
        <v>190</v>
      </c>
      <c r="B9" s="24" t="s">
        <v>191</v>
      </c>
      <c r="C9" s="24" t="s">
        <v>192</v>
      </c>
      <c r="D9" s="24" t="s">
        <v>193</v>
      </c>
      <c r="E9" s="24" t="s">
        <v>194</v>
      </c>
      <c r="F9" s="24" t="s">
        <v>195</v>
      </c>
      <c r="G9" s="24" t="s">
        <v>196</v>
      </c>
      <c r="H9" s="24" t="s">
        <v>197</v>
      </c>
      <c r="I9" s="24" t="s">
        <v>198</v>
      </c>
      <c r="J9" s="24" t="n">
        <v>5</v>
      </c>
      <c r="K9" s="24" t="n">
        <v>110</v>
      </c>
      <c r="L9" s="24" t="n">
        <v>90</v>
      </c>
      <c r="M9" s="24"/>
      <c r="N9" s="24" t="s">
        <v>179</v>
      </c>
      <c r="O9" s="24" t="s">
        <v>199</v>
      </c>
      <c r="P9" s="24" t="n">
        <v>20</v>
      </c>
      <c r="Q9" s="24" t="n">
        <v>1</v>
      </c>
      <c r="R9" s="24" t="n">
        <v>10</v>
      </c>
      <c r="S9" s="24" t="s">
        <v>179</v>
      </c>
      <c r="T9" s="24"/>
    </row>
    <row r="10" customFormat="false" ht="21.75" hidden="false" customHeight="true" outlineLevel="0" collapsed="false">
      <c r="A10" s="25" t="s">
        <v>200</v>
      </c>
      <c r="B10" s="25" t="s">
        <v>201</v>
      </c>
      <c r="C10" s="25" t="s">
        <v>202</v>
      </c>
      <c r="D10" s="25" t="s">
        <v>203</v>
      </c>
      <c r="E10" s="25" t="s">
        <v>174</v>
      </c>
      <c r="F10" s="25" t="s">
        <v>175</v>
      </c>
      <c r="G10" s="25" t="s">
        <v>204</v>
      </c>
      <c r="H10" s="25" t="s">
        <v>205</v>
      </c>
      <c r="I10" s="25" t="s">
        <v>178</v>
      </c>
      <c r="J10" s="25" t="n">
        <v>12</v>
      </c>
      <c r="K10" s="25" t="n">
        <v>85</v>
      </c>
      <c r="L10" s="25" t="n">
        <v>68</v>
      </c>
      <c r="M10" s="25"/>
      <c r="N10" s="25" t="s">
        <v>179</v>
      </c>
      <c r="O10" s="25" t="s">
        <v>180</v>
      </c>
      <c r="P10" s="25" t="n">
        <v>30</v>
      </c>
      <c r="Q10" s="25" t="n">
        <v>1</v>
      </c>
      <c r="R10" s="25" t="n">
        <v>5</v>
      </c>
      <c r="S10" s="25" t="s">
        <v>181</v>
      </c>
      <c r="T10" s="25"/>
    </row>
    <row r="11" customFormat="false" ht="21.75" hidden="false" customHeight="true" outlineLevel="0" collapsed="false">
      <c r="A11" s="24" t="s">
        <v>206</v>
      </c>
      <c r="B11" s="24" t="s">
        <v>207</v>
      </c>
      <c r="C11" s="24" t="s">
        <v>208</v>
      </c>
      <c r="D11" s="24" t="s">
        <v>209</v>
      </c>
      <c r="E11" s="24" t="s">
        <v>194</v>
      </c>
      <c r="F11" s="24" t="s">
        <v>175</v>
      </c>
      <c r="G11" s="24" t="s">
        <v>210</v>
      </c>
      <c r="H11" s="24" t="s">
        <v>211</v>
      </c>
      <c r="I11" s="24" t="s">
        <v>178</v>
      </c>
      <c r="J11" s="24" t="n">
        <v>12</v>
      </c>
      <c r="K11" s="24" t="n">
        <v>28</v>
      </c>
      <c r="L11" s="24" t="n">
        <v>22</v>
      </c>
      <c r="M11" s="24"/>
      <c r="N11" s="24" t="s">
        <v>179</v>
      </c>
      <c r="O11" s="24" t="s">
        <v>180</v>
      </c>
      <c r="P11" s="24" t="n">
        <v>28</v>
      </c>
      <c r="Q11" s="24" t="n">
        <v>1</v>
      </c>
      <c r="R11" s="24" t="n">
        <v>10</v>
      </c>
      <c r="S11" s="24" t="s">
        <v>179</v>
      </c>
      <c r="T11" s="24"/>
    </row>
    <row r="12" customFormat="false" ht="19.5" hidden="false" customHeight="true" outlineLevel="0" collapsed="false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</row>
    <row r="13" customFormat="false" ht="19.5" hidden="false" customHeight="tru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</row>
    <row r="14" customFormat="false" ht="19.5" hidden="false" customHeight="true" outlineLevel="0" collapsed="false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</row>
    <row r="15" customFormat="false" ht="19.5" hidden="false" customHeight="tru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</row>
    <row r="16" customFormat="false" ht="19.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</row>
    <row r="17" customFormat="false" ht="19.5" hidden="false" customHeight="tru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customFormat="false" ht="19.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</row>
    <row r="19" customFormat="false" ht="19.5" hidden="false" customHeight="tru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</row>
    <row r="20" customFormat="false" ht="19.5" hidden="false" customHeight="true" outlineLevel="0" collapsed="false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</row>
    <row r="21" customFormat="false" ht="19.5" hidden="false" customHeight="tru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</row>
    <row r="22" customFormat="false" ht="19.5" hidden="false" customHeight="true" outlineLevel="0" collapsed="false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</row>
    <row r="23" customFormat="false" ht="19.5" hidden="false" customHeight="true" outlineLevel="0" collapsed="false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</row>
    <row r="24" customFormat="false" ht="19.5" hidden="false" customHeight="true" outlineLevel="0" collapsed="false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</row>
    <row r="25" customFormat="false" ht="19.5" hidden="false" customHeight="true" outlineLevel="0" collapsed="false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</row>
    <row r="26" customFormat="false" ht="19.5" hidden="false" customHeight="true" outlineLevel="0" collapsed="false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</row>
    <row r="27" customFormat="false" ht="19.5" hidden="false" customHeight="true" outlineLevel="0" collapsed="false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</row>
    <row r="28" customFormat="false" ht="19.5" hidden="false" customHeight="true" outlineLevel="0" collapsed="false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</row>
    <row r="29" customFormat="false" ht="19.5" hidden="false" customHeight="true" outlineLevel="0" collapsed="false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</row>
    <row r="30" customFormat="false" ht="19.5" hidden="false" customHeight="true" outlineLevel="0" collapsed="false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</row>
    <row r="31" customFormat="false" ht="19.5" hidden="false" customHeight="true" outlineLevel="0" collapsed="false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customFormat="false" ht="19.5" hidden="false" customHeight="true" outlineLevel="0" collapsed="false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</row>
    <row r="33" customFormat="false" ht="19.5" hidden="false" customHeight="true" outlineLevel="0" collapsed="false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</row>
    <row r="34" customFormat="false" ht="19.5" hidden="false" customHeight="true" outlineLevel="0" collapsed="false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</row>
    <row r="35" customFormat="false" ht="19.5" hidden="false" customHeight="true" outlineLevel="0" collapsed="false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</row>
    <row r="36" customFormat="false" ht="19.5" hidden="false" customHeight="true" outlineLevel="0" collapsed="false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</row>
    <row r="37" customFormat="false" ht="19.5" hidden="false" customHeight="true" outlineLevel="0" collapsed="false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</row>
    <row r="38" customFormat="false" ht="19.5" hidden="false" customHeight="true" outlineLevel="0" collapsed="false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</row>
    <row r="39" customFormat="false" ht="19.5" hidden="false" customHeight="true" outlineLevel="0" collapsed="false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</row>
    <row r="40" customFormat="false" ht="19.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</row>
    <row r="41" customFormat="false" ht="19.5" hidden="false" customHeight="true" outlineLevel="0" collapsed="false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</row>
    <row r="42" customFormat="false" ht="19.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</row>
    <row r="43" customFormat="false" ht="19.5" hidden="false" customHeight="true" outlineLevel="0" collapsed="false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</row>
    <row r="44" customFormat="false" ht="19.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</row>
    <row r="45" customFormat="false" ht="19.5" hidden="false" customHeight="true" outlineLevel="0" collapsed="false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</row>
    <row r="46" customFormat="false" ht="19.5" hidden="false" customHeight="true" outlineLevel="0" collapsed="false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</row>
    <row r="47" customFormat="false" ht="19.5" hidden="false" customHeight="true" outlineLevel="0" collapsed="false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</row>
    <row r="48" customFormat="false" ht="19.5" hidden="false" customHeight="true" outlineLevel="0" collapsed="false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</row>
    <row r="49" customFormat="false" ht="19.5" hidden="false" customHeight="true" outlineLevel="0" collapsed="false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</row>
    <row r="50" customFormat="false" ht="19.5" hidden="false" customHeight="true" outlineLevel="0" collapsed="false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</row>
    <row r="51" customFormat="false" ht="19.5" hidden="false" customHeight="true" outlineLevel="0" collapsed="false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</row>
    <row r="52" customFormat="false" ht="19.5" hidden="false" customHeight="true" outlineLevel="0" collapsed="false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</row>
    <row r="53" customFormat="false" ht="19.5" hidden="false" customHeight="true" outlineLevel="0" collapsed="false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</row>
    <row r="54" customFormat="false" ht="19.5" hidden="false" customHeight="true" outlineLevel="0" collapsed="false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</row>
    <row r="55" customFormat="false" ht="19.5" hidden="false" customHeight="true" outlineLevel="0" collapsed="false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</row>
    <row r="56" customFormat="false" ht="19.5" hidden="false" customHeight="true" outlineLevel="0" collapsed="false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</row>
  </sheetData>
  <mergeCells count="4">
    <mergeCell ref="A1:T1"/>
    <mergeCell ref="A2:T2"/>
    <mergeCell ref="A3:T3"/>
    <mergeCell ref="A4:T4"/>
  </mergeCells>
  <dataValidations count="6">
    <dataValidation allowBlank="false" errorStyle="stop" operator="between" showDropDown="false" showErrorMessage="false" showInputMessage="false" sqref="E7:E60" type="list">
      <formula1>"OTC,Schedule G,Schedule H,Schedule H1,Schedule X"</formula1>
      <formula2>0</formula2>
    </dataValidation>
    <dataValidation allowBlank="false" errorStyle="stop" operator="between" showDropDown="false" showErrorMessage="false" showInputMessage="false" sqref="F7:F60" type="list">
      <formula1>"Tablet,Capsule,Syrup,Injection,Cream,Ointment,Drops,Inhaler,Powder,Gel,Spray"</formula1>
      <formula2>0</formula2>
    </dataValidation>
    <dataValidation allowBlank="false" errorStyle="stop" operator="between" showDropDown="false" showErrorMessage="false" showInputMessage="false" sqref="J7:J60" type="list">
      <formula1>"0,5,12,18"</formula1>
      <formula2>0</formula2>
    </dataValidation>
    <dataValidation allowBlank="false" errorStyle="stop" operator="between" showDropDown="false" showErrorMessage="false" showInputMessage="false" sqref="N7:N60" type="list">
      <formula1>"YES,NO"</formula1>
      <formula2>0</formula2>
    </dataValidation>
    <dataValidation allowBlank="false" errorStyle="stop" operator="between" showDropDown="false" showErrorMessage="false" showInputMessage="false" sqref="O7:O60" type="list">
      <formula1>"Room Temperature 15-30 C,Cool and Dry below 25 C,Refrigerated 2-8 C,Frozen below -15 C,Controlled Room Temp 20-25 C"</formula1>
      <formula2>0</formula2>
    </dataValidation>
    <dataValidation allowBlank="false" errorStyle="stop" operator="between" showDropDown="false" showErrorMessage="false" showInputMessage="false" sqref="S7:S6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0"/>
    <col collapsed="false" customWidth="true" hidden="false" outlineLevel="0" max="5" min="3" style="1" width="22"/>
    <col collapsed="false" customWidth="true" hidden="false" outlineLevel="0" max="6" min="6" style="1" width="20"/>
    <col collapsed="false" customWidth="true" hidden="false" outlineLevel="0" max="8" min="7" style="1" width="26"/>
    <col collapsed="false" customWidth="true" hidden="false" outlineLevel="0" max="9" min="9" style="1" width="20"/>
    <col collapsed="false" customWidth="true" hidden="false" outlineLevel="0" max="10" min="10" style="1" width="22"/>
    <col collapsed="false" customWidth="true" hidden="false" outlineLevel="0" max="12" min="11" style="1" width="20"/>
    <col collapsed="false" customWidth="true" hidden="false" outlineLevel="0" max="13" min="13" style="1" width="24"/>
  </cols>
  <sheetData>
    <row r="1" customFormat="false" ht="43.5" hidden="false" customHeight="true" outlineLevel="0" collapsed="false">
      <c r="A1" s="2" t="s">
        <v>212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1.75" hidden="false" customHeight="true" outlineLevel="0" collapsed="false">
      <c r="A2" s="17" t="s">
        <v>213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3" customFormat="false" ht="19.5" hidden="false" customHeight="true" outlineLevel="0" collapsed="false">
      <c r="A3" s="18" t="s">
        <v>214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</row>
    <row r="4" customFormat="false" ht="13.5" hidden="false" customHeight="true" outlineLevel="0" collapsed="false">
      <c r="A4" s="19" t="s">
        <v>47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5" customFormat="false" ht="33.75" hidden="false" customHeight="true" outlineLevel="0" collapsed="false">
      <c r="A5" s="20" t="s">
        <v>135</v>
      </c>
      <c r="B5" s="20" t="s">
        <v>215</v>
      </c>
      <c r="C5" s="20" t="s">
        <v>216</v>
      </c>
      <c r="D5" s="20" t="s">
        <v>217</v>
      </c>
      <c r="E5" s="20" t="s">
        <v>218</v>
      </c>
      <c r="F5" s="21" t="s">
        <v>219</v>
      </c>
      <c r="G5" s="20" t="s">
        <v>220</v>
      </c>
      <c r="H5" s="21" t="s">
        <v>221</v>
      </c>
      <c r="I5" s="21" t="s">
        <v>222</v>
      </c>
      <c r="J5" s="21" t="s">
        <v>223</v>
      </c>
      <c r="K5" s="21" t="s">
        <v>224</v>
      </c>
      <c r="L5" s="21" t="s">
        <v>225</v>
      </c>
      <c r="M5" s="21" t="s">
        <v>152</v>
      </c>
    </row>
    <row r="6" customFormat="false" ht="18" hidden="false" customHeight="true" outlineLevel="0" collapsed="false">
      <c r="A6" s="23" t="s">
        <v>226</v>
      </c>
      <c r="B6" s="23" t="s">
        <v>227</v>
      </c>
      <c r="C6" s="23" t="s">
        <v>228</v>
      </c>
      <c r="D6" s="23" t="s">
        <v>229</v>
      </c>
      <c r="E6" s="23" t="s">
        <v>230</v>
      </c>
      <c r="F6" s="23" t="s">
        <v>231</v>
      </c>
      <c r="G6" s="23" t="s">
        <v>232</v>
      </c>
      <c r="H6" s="23" t="s">
        <v>233</v>
      </c>
      <c r="I6" s="23" t="s">
        <v>234</v>
      </c>
      <c r="J6" s="23" t="s">
        <v>235</v>
      </c>
      <c r="K6" s="23" t="s">
        <v>236</v>
      </c>
      <c r="L6" s="23" t="s">
        <v>237</v>
      </c>
      <c r="M6" s="23" t="s">
        <v>50</v>
      </c>
    </row>
    <row r="7" customFormat="false" ht="21.75" hidden="false" customHeight="true" outlineLevel="0" collapsed="false">
      <c r="A7" s="24" t="s">
        <v>172</v>
      </c>
      <c r="B7" s="24" t="s">
        <v>170</v>
      </c>
      <c r="C7" s="24" t="s">
        <v>238</v>
      </c>
      <c r="D7" s="24" t="n">
        <v>500</v>
      </c>
      <c r="E7" s="24" t="s">
        <v>239</v>
      </c>
      <c r="F7" s="24" t="s">
        <v>240</v>
      </c>
      <c r="G7" s="24" t="n">
        <v>18.5</v>
      </c>
      <c r="H7" s="24" t="s">
        <v>241</v>
      </c>
      <c r="I7" s="24" t="s">
        <v>242</v>
      </c>
      <c r="J7" s="24" t="s">
        <v>243</v>
      </c>
      <c r="K7" s="24" t="s">
        <v>244</v>
      </c>
      <c r="L7" s="24" t="s">
        <v>179</v>
      </c>
      <c r="M7" s="24"/>
    </row>
    <row r="8" customFormat="false" ht="21.75" hidden="false" customHeight="true" outlineLevel="0" collapsed="false">
      <c r="A8" s="25" t="s">
        <v>172</v>
      </c>
      <c r="B8" s="25" t="s">
        <v>170</v>
      </c>
      <c r="C8" s="25" t="s">
        <v>245</v>
      </c>
      <c r="D8" s="25" t="n">
        <v>300</v>
      </c>
      <c r="E8" s="25" t="s">
        <v>246</v>
      </c>
      <c r="F8" s="25" t="s">
        <v>247</v>
      </c>
      <c r="G8" s="25" t="n">
        <v>18.75</v>
      </c>
      <c r="H8" s="25" t="s">
        <v>241</v>
      </c>
      <c r="I8" s="25" t="s">
        <v>248</v>
      </c>
      <c r="J8" s="25" t="s">
        <v>249</v>
      </c>
      <c r="K8" s="25" t="s">
        <v>244</v>
      </c>
      <c r="L8" s="25" t="s">
        <v>179</v>
      </c>
      <c r="M8" s="25" t="s">
        <v>250</v>
      </c>
    </row>
    <row r="9" customFormat="false" ht="21.75" hidden="false" customHeight="true" outlineLevel="0" collapsed="false">
      <c r="A9" s="24" t="s">
        <v>184</v>
      </c>
      <c r="B9" s="24" t="s">
        <v>182</v>
      </c>
      <c r="C9" s="24" t="s">
        <v>251</v>
      </c>
      <c r="D9" s="24" t="n">
        <v>24</v>
      </c>
      <c r="E9" s="24" t="s">
        <v>252</v>
      </c>
      <c r="F9" s="24" t="s">
        <v>253</v>
      </c>
      <c r="G9" s="24" t="n">
        <v>320</v>
      </c>
      <c r="H9" s="24" t="s">
        <v>254</v>
      </c>
      <c r="I9" s="24" t="s">
        <v>255</v>
      </c>
      <c r="J9" s="24" t="s">
        <v>249</v>
      </c>
      <c r="K9" s="24" t="s">
        <v>256</v>
      </c>
      <c r="L9" s="24" t="s">
        <v>181</v>
      </c>
      <c r="M9" s="24" t="s">
        <v>257</v>
      </c>
    </row>
    <row r="10" customFormat="false" ht="21.75" hidden="false" customHeight="true" outlineLevel="0" collapsed="false">
      <c r="A10" s="25" t="s">
        <v>192</v>
      </c>
      <c r="B10" s="25" t="s">
        <v>190</v>
      </c>
      <c r="C10" s="25" t="s">
        <v>258</v>
      </c>
      <c r="D10" s="25" t="n">
        <v>360</v>
      </c>
      <c r="E10" s="25" t="s">
        <v>259</v>
      </c>
      <c r="F10" s="25" t="s">
        <v>260</v>
      </c>
      <c r="G10" s="25" t="n">
        <v>38</v>
      </c>
      <c r="H10" s="25" t="s">
        <v>261</v>
      </c>
      <c r="I10" s="25" t="s">
        <v>262</v>
      </c>
      <c r="J10" s="25" t="s">
        <v>263</v>
      </c>
      <c r="K10" s="25" t="s">
        <v>264</v>
      </c>
      <c r="L10" s="25" t="s">
        <v>179</v>
      </c>
      <c r="M10" s="25"/>
    </row>
    <row r="11" customFormat="false" ht="21.75" hidden="false" customHeight="true" outlineLevel="0" collapsed="false">
      <c r="A11" s="24" t="s">
        <v>202</v>
      </c>
      <c r="B11" s="24" t="s">
        <v>200</v>
      </c>
      <c r="C11" s="24" t="s">
        <v>265</v>
      </c>
      <c r="D11" s="24" t="n">
        <v>450</v>
      </c>
      <c r="E11" s="24" t="s">
        <v>266</v>
      </c>
      <c r="F11" s="24" t="s">
        <v>267</v>
      </c>
      <c r="G11" s="24" t="n">
        <v>28</v>
      </c>
      <c r="H11" s="24" t="s">
        <v>268</v>
      </c>
      <c r="I11" s="24" t="s">
        <v>269</v>
      </c>
      <c r="J11" s="24" t="s">
        <v>270</v>
      </c>
      <c r="K11" s="24" t="s">
        <v>271</v>
      </c>
      <c r="L11" s="24" t="s">
        <v>179</v>
      </c>
      <c r="M11" s="24"/>
    </row>
    <row r="12" customFormat="false" ht="21.75" hidden="false" customHeight="true" outlineLevel="0" collapsed="false">
      <c r="A12" s="25" t="s">
        <v>208</v>
      </c>
      <c r="B12" s="25" t="s">
        <v>206</v>
      </c>
      <c r="C12" s="25" t="s">
        <v>272</v>
      </c>
      <c r="D12" s="25" t="n">
        <v>800</v>
      </c>
      <c r="E12" s="25" t="s">
        <v>273</v>
      </c>
      <c r="F12" s="25" t="s">
        <v>260</v>
      </c>
      <c r="G12" s="25" t="n">
        <v>8.5</v>
      </c>
      <c r="H12" s="25" t="s">
        <v>274</v>
      </c>
      <c r="I12" s="25" t="s">
        <v>275</v>
      </c>
      <c r="J12" s="25" t="s">
        <v>276</v>
      </c>
      <c r="K12" s="25" t="s">
        <v>277</v>
      </c>
      <c r="L12" s="25" t="s">
        <v>179</v>
      </c>
      <c r="M12" s="25"/>
    </row>
    <row r="13" customFormat="false" ht="19.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</row>
    <row r="14" customFormat="false" ht="19.5" hidden="false" customHeight="tru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</row>
    <row r="15" customFormat="false" ht="19.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customFormat="false" ht="19.5" hidden="false" customHeight="tru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customFormat="false" ht="19.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</row>
    <row r="18" customFormat="false" ht="19.5" hidden="false" customHeight="tru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</row>
    <row r="19" customFormat="false" ht="19.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</row>
    <row r="20" customFormat="false" ht="19.5" hidden="false" customHeight="tru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</row>
    <row r="21" customFormat="false" ht="19.5" hidden="false" customHeight="true" outlineLevel="0" collapsed="false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</row>
    <row r="22" customFormat="false" ht="19.5" hidden="false" customHeight="true" outlineLevel="0" collapsed="false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</row>
    <row r="23" customFormat="false" ht="19.5" hidden="false" customHeight="true" outlineLevel="0" collapsed="false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</row>
    <row r="24" customFormat="false" ht="19.5" hidden="false" customHeight="true" outlineLevel="0" collapsed="false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</row>
    <row r="25" customFormat="false" ht="19.5" hidden="false" customHeight="true" outlineLevel="0" collapsed="false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</row>
    <row r="26" customFormat="false" ht="19.5" hidden="false" customHeight="true" outlineLevel="0" collapsed="false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</row>
    <row r="27" customFormat="false" ht="19.5" hidden="false" customHeight="true" outlineLevel="0" collapsed="false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28" customFormat="false" ht="19.5" hidden="false" customHeight="true" outlineLevel="0" collapsed="false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</row>
    <row r="29" customFormat="false" ht="19.5" hidden="false" customHeight="true" outlineLevel="0" collapsed="false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</row>
    <row r="30" customFormat="false" ht="19.5" hidden="false" customHeight="true" outlineLevel="0" collapsed="false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customFormat="false" ht="19.5" hidden="false" customHeight="true" outlineLevel="0" collapsed="false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</row>
    <row r="32" customFormat="false" ht="19.5" hidden="false" customHeight="true" outlineLevel="0" collapsed="false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</row>
    <row r="33" customFormat="false" ht="19.5" hidden="false" customHeight="true" outlineLevel="0" collapsed="false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</row>
    <row r="34" customFormat="false" ht="19.5" hidden="false" customHeight="true" outlineLevel="0" collapsed="false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</row>
    <row r="35" customFormat="false" ht="19.5" hidden="false" customHeight="true" outlineLevel="0" collapsed="false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</row>
    <row r="36" customFormat="false" ht="19.5" hidden="false" customHeight="true" outlineLevel="0" collapsed="false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</row>
    <row r="37" customFormat="false" ht="19.5" hidden="false" customHeight="true" outlineLevel="0" collapsed="false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</row>
    <row r="38" customFormat="false" ht="19.5" hidden="false" customHeight="true" outlineLevel="0" collapsed="false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customFormat="false" ht="19.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</row>
    <row r="40" customFormat="false" ht="19.5" hidden="false" customHeight="true" outlineLevel="0" collapsed="false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</row>
    <row r="41" customFormat="false" ht="19.5" hidden="false" customHeight="true" outlineLevel="0" collapsed="false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</row>
    <row r="42" customFormat="false" ht="19.5" hidden="false" customHeight="true" outlineLevel="0" collapsed="false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customFormat="false" ht="19.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</row>
    <row r="44" customFormat="false" ht="19.5" hidden="false" customHeight="true" outlineLevel="0" collapsed="false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</row>
    <row r="45" customFormat="false" ht="19.5" hidden="false" customHeight="true" outlineLevel="0" collapsed="false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</row>
    <row r="46" customFormat="false" ht="19.5" hidden="false" customHeight="true" outlineLevel="0" collapsed="false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</row>
    <row r="47" customFormat="false" ht="19.5" hidden="false" customHeight="true" outlineLevel="0" collapsed="false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</row>
    <row r="48" customFormat="false" ht="19.5" hidden="false" customHeight="true" outlineLevel="0" collapsed="false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</row>
    <row r="49" customFormat="false" ht="19.5" hidden="false" customHeight="true" outlineLevel="0" collapsed="false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</row>
    <row r="50" customFormat="false" ht="19.5" hidden="false" customHeight="true" outlineLevel="0" collapsed="false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customFormat="false" ht="19.5" hidden="false" customHeight="true" outlineLevel="0" collapsed="false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52" customFormat="false" ht="19.5" hidden="false" customHeight="true" outlineLevel="0" collapsed="false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</row>
    <row r="53" customFormat="false" ht="19.5" hidden="false" customHeight="true" outlineLevel="0" collapsed="false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</row>
    <row r="54" customFormat="false" ht="19.5" hidden="false" customHeight="true" outlineLevel="0" collapsed="false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</row>
    <row r="55" customFormat="false" ht="19.5" hidden="false" customHeight="true" outlineLevel="0" collapsed="false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</row>
    <row r="56" customFormat="false" ht="19.5" hidden="false" customHeight="true" outlineLevel="0" collapsed="false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</row>
    <row r="58" customFormat="false" ht="15" hidden="false" customHeight="true" outlineLevel="0" collapsed="false">
      <c r="A58" s="26" t="s">
        <v>278</v>
      </c>
      <c r="B58" s="26"/>
      <c r="C58" s="26"/>
      <c r="D58" s="27" t="n">
        <f aca="false">IFERROR(SUMPRODUCT(D7:D57,G7:G57),0)</f>
        <v>55635</v>
      </c>
    </row>
  </sheetData>
  <mergeCells count="5">
    <mergeCell ref="A1:M1"/>
    <mergeCell ref="A2:M2"/>
    <mergeCell ref="A3:M3"/>
    <mergeCell ref="A4:M4"/>
    <mergeCell ref="A58:C58"/>
  </mergeCells>
  <dataValidations count="1">
    <dataValidation allowBlank="false" errorStyle="stop" operator="between" showDropDown="false" showErrorMessage="false" showInputMessage="false" sqref="L7:L6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5" min="4" style="1" width="28"/>
    <col collapsed="false" customWidth="true" hidden="false" outlineLevel="0" max="6" min="6" style="1" width="22"/>
    <col collapsed="false" customWidth="true" hidden="false" outlineLevel="0" max="7" min="7" style="1" width="26"/>
    <col collapsed="false" customWidth="true" hidden="false" outlineLevel="0" max="8" min="8" style="1" width="24"/>
    <col collapsed="false" customWidth="true" hidden="false" outlineLevel="0" max="9" min="9" style="1" width="30"/>
    <col collapsed="false" customWidth="true" hidden="false" outlineLevel="0" max="10" min="10" style="1" width="32"/>
  </cols>
  <sheetData>
    <row r="1" customFormat="false" ht="43.5" hidden="false" customHeight="true" outlineLevel="0" collapsed="false">
      <c r="A1" s="2" t="s">
        <v>279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17" t="s">
        <v>280</v>
      </c>
      <c r="B2" s="17"/>
      <c r="C2" s="17"/>
      <c r="D2" s="17"/>
      <c r="E2" s="17"/>
      <c r="F2" s="17"/>
      <c r="G2" s="17"/>
      <c r="H2" s="17"/>
      <c r="I2" s="17"/>
      <c r="J2" s="17"/>
    </row>
    <row r="3" customFormat="false" ht="19.5" hidden="false" customHeight="true" outlineLevel="0" collapsed="false">
      <c r="A3" s="18" t="s">
        <v>281</v>
      </c>
      <c r="B3" s="18"/>
      <c r="C3" s="18"/>
      <c r="D3" s="18"/>
      <c r="E3" s="18"/>
      <c r="F3" s="18"/>
      <c r="G3" s="18"/>
      <c r="H3" s="18"/>
      <c r="I3" s="18"/>
      <c r="J3" s="18"/>
    </row>
    <row r="4" customFormat="false" ht="13.5" hidden="false" customHeight="true" outlineLevel="0" collapsed="false">
      <c r="A4" s="19" t="s">
        <v>47</v>
      </c>
      <c r="B4" s="19"/>
      <c r="C4" s="19"/>
      <c r="D4" s="19"/>
      <c r="E4" s="19"/>
      <c r="F4" s="19"/>
      <c r="G4" s="19"/>
      <c r="H4" s="19"/>
      <c r="I4" s="19"/>
      <c r="J4" s="19"/>
    </row>
    <row r="5" customFormat="false" ht="33.75" hidden="false" customHeight="true" outlineLevel="0" collapsed="false">
      <c r="A5" s="20" t="s">
        <v>135</v>
      </c>
      <c r="B5" s="20" t="s">
        <v>215</v>
      </c>
      <c r="C5" s="20" t="s">
        <v>143</v>
      </c>
      <c r="D5" s="20" t="s">
        <v>144</v>
      </c>
      <c r="E5" s="21" t="s">
        <v>145</v>
      </c>
      <c r="F5" s="21" t="s">
        <v>282</v>
      </c>
      <c r="G5" s="21" t="s">
        <v>283</v>
      </c>
      <c r="H5" s="21" t="s">
        <v>284</v>
      </c>
      <c r="I5" s="21" t="s">
        <v>285</v>
      </c>
      <c r="J5" s="21" t="s">
        <v>50</v>
      </c>
    </row>
    <row r="6" customFormat="false" ht="18" hidden="false" customHeight="true" outlineLevel="0" collapsed="false">
      <c r="A6" s="23" t="s">
        <v>286</v>
      </c>
      <c r="B6" s="23" t="s">
        <v>227</v>
      </c>
      <c r="C6" s="23" t="s">
        <v>163</v>
      </c>
      <c r="D6" s="23" t="s">
        <v>287</v>
      </c>
      <c r="E6" s="23" t="s">
        <v>288</v>
      </c>
      <c r="F6" s="23" t="s">
        <v>289</v>
      </c>
      <c r="G6" s="23" t="s">
        <v>102</v>
      </c>
      <c r="H6" s="23" t="s">
        <v>290</v>
      </c>
      <c r="I6" s="23" t="s">
        <v>291</v>
      </c>
      <c r="J6" s="23" t="s">
        <v>50</v>
      </c>
    </row>
    <row r="7" customFormat="false" ht="21.75" hidden="false" customHeight="true" outlineLevel="0" collapsed="false">
      <c r="A7" s="24" t="s">
        <v>172</v>
      </c>
      <c r="B7" s="24" t="s">
        <v>170</v>
      </c>
      <c r="C7" s="24" t="n">
        <v>50</v>
      </c>
      <c r="D7" s="24" t="n">
        <v>40</v>
      </c>
      <c r="E7" s="24"/>
      <c r="F7" s="28" t="n">
        <f aca="false">IFERROR((C7-D7)/C7*100,0)</f>
        <v>20</v>
      </c>
      <c r="G7" s="24" t="s">
        <v>181</v>
      </c>
      <c r="H7" s="24" t="n">
        <v>35</v>
      </c>
      <c r="I7" s="24" t="s">
        <v>292</v>
      </c>
      <c r="J7" s="24" t="s">
        <v>293</v>
      </c>
    </row>
    <row r="8" customFormat="false" ht="21.75" hidden="false" customHeight="true" outlineLevel="0" collapsed="false">
      <c r="A8" s="25" t="s">
        <v>184</v>
      </c>
      <c r="B8" s="25" t="s">
        <v>182</v>
      </c>
      <c r="C8" s="25" t="n">
        <v>720</v>
      </c>
      <c r="D8" s="25" t="n">
        <v>650</v>
      </c>
      <c r="E8" s="25"/>
      <c r="F8" s="29" t="n">
        <f aca="false">IFERROR((C8-D8)/C8*100,0)</f>
        <v>9.72222222222222</v>
      </c>
      <c r="G8" s="25" t="s">
        <v>179</v>
      </c>
      <c r="H8" s="25" t="n">
        <v>630</v>
      </c>
      <c r="I8" s="25"/>
      <c r="J8" s="25" t="s">
        <v>294</v>
      </c>
    </row>
    <row r="9" customFormat="false" ht="21.75" hidden="false" customHeight="true" outlineLevel="0" collapsed="false">
      <c r="A9" s="24" t="s">
        <v>192</v>
      </c>
      <c r="B9" s="24" t="s">
        <v>190</v>
      </c>
      <c r="C9" s="24" t="n">
        <v>110</v>
      </c>
      <c r="D9" s="24" t="n">
        <v>90</v>
      </c>
      <c r="E9" s="24"/>
      <c r="F9" s="28" t="n">
        <f aca="false">IFERROR((C9-D9)/C9*100,0)</f>
        <v>18.1818181818182</v>
      </c>
      <c r="G9" s="24" t="s">
        <v>181</v>
      </c>
      <c r="H9" s="24" t="n">
        <v>80</v>
      </c>
      <c r="I9" s="24" t="s">
        <v>295</v>
      </c>
      <c r="J9" s="24"/>
    </row>
    <row r="10" customFormat="false" ht="21.75" hidden="false" customHeight="true" outlineLevel="0" collapsed="false">
      <c r="A10" s="25" t="s">
        <v>202</v>
      </c>
      <c r="B10" s="25" t="s">
        <v>200</v>
      </c>
      <c r="C10" s="25" t="n">
        <v>85</v>
      </c>
      <c r="D10" s="25" t="n">
        <v>68</v>
      </c>
      <c r="E10" s="25"/>
      <c r="F10" s="29" t="n">
        <f aca="false">IFERROR((C10-D10)/C10*100,0)</f>
        <v>20</v>
      </c>
      <c r="G10" s="25" t="s">
        <v>181</v>
      </c>
      <c r="H10" s="25" t="n">
        <v>60</v>
      </c>
      <c r="I10" s="25"/>
      <c r="J10" s="25"/>
    </row>
    <row r="11" customFormat="false" ht="21.75" hidden="false" customHeight="true" outlineLevel="0" collapsed="false">
      <c r="A11" s="24" t="s">
        <v>208</v>
      </c>
      <c r="B11" s="24" t="s">
        <v>206</v>
      </c>
      <c r="C11" s="24" t="n">
        <v>28</v>
      </c>
      <c r="D11" s="24" t="n">
        <v>22</v>
      </c>
      <c r="E11" s="24"/>
      <c r="F11" s="28" t="n">
        <f aca="false">IFERROR((C11-D11)/C11*100,0)</f>
        <v>21.4285714285714</v>
      </c>
      <c r="G11" s="24" t="s">
        <v>181</v>
      </c>
      <c r="H11" s="24" t="n">
        <v>18</v>
      </c>
      <c r="I11" s="24"/>
      <c r="J11" s="24" t="s">
        <v>296</v>
      </c>
    </row>
    <row r="12" customFormat="false" ht="15" hidden="false" customHeight="true" outlineLevel="0" collapsed="false">
      <c r="A12" s="25"/>
      <c r="B12" s="25"/>
      <c r="C12" s="25"/>
      <c r="D12" s="25"/>
      <c r="E12" s="25"/>
      <c r="F12" s="29" t="n">
        <f aca="false">IFERROR((C12-D12)/C12*100,0)</f>
        <v>0</v>
      </c>
      <c r="G12" s="25"/>
      <c r="H12" s="25"/>
      <c r="I12" s="25"/>
      <c r="J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8" t="n">
        <f aca="false">IFERROR((C13-D13)/C13*100,0)</f>
        <v>0</v>
      </c>
      <c r="G13" s="24"/>
      <c r="H13" s="24"/>
      <c r="I13" s="24"/>
      <c r="J13" s="24"/>
    </row>
    <row r="14" customFormat="false" ht="15" hidden="false" customHeight="true" outlineLevel="0" collapsed="false">
      <c r="A14" s="25"/>
      <c r="B14" s="25"/>
      <c r="C14" s="25"/>
      <c r="D14" s="25"/>
      <c r="E14" s="25"/>
      <c r="F14" s="29" t="n">
        <f aca="false">IFERROR((C14-D14)/C14*100,0)</f>
        <v>0</v>
      </c>
      <c r="G14" s="25"/>
      <c r="H14" s="25"/>
      <c r="I14" s="25"/>
      <c r="J14" s="25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8" t="n">
        <f aca="false">IFERROR((C15-D15)/C15*100,0)</f>
        <v>0</v>
      </c>
      <c r="G15" s="24"/>
      <c r="H15" s="24"/>
      <c r="I15" s="24"/>
      <c r="J15" s="24"/>
    </row>
    <row r="16" customFormat="false" ht="15" hidden="false" customHeight="true" outlineLevel="0" collapsed="false">
      <c r="A16" s="25"/>
      <c r="B16" s="25"/>
      <c r="C16" s="25"/>
      <c r="D16" s="25"/>
      <c r="E16" s="25"/>
      <c r="F16" s="29" t="n">
        <f aca="false">IFERROR((C16-D16)/C16*100,0)</f>
        <v>0</v>
      </c>
      <c r="G16" s="25"/>
      <c r="H16" s="25"/>
      <c r="I16" s="25"/>
      <c r="J16" s="25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8" t="n">
        <f aca="false">IFERROR((C17-D17)/C17*100,0)</f>
        <v>0</v>
      </c>
      <c r="G17" s="24"/>
      <c r="H17" s="24"/>
      <c r="I17" s="24"/>
      <c r="J17" s="24"/>
    </row>
    <row r="18" customFormat="false" ht="15" hidden="false" customHeight="true" outlineLevel="0" collapsed="false">
      <c r="A18" s="25"/>
      <c r="B18" s="25"/>
      <c r="C18" s="25"/>
      <c r="D18" s="25"/>
      <c r="E18" s="25"/>
      <c r="F18" s="29" t="n">
        <f aca="false">IFERROR((C18-D18)/C18*100,0)</f>
        <v>0</v>
      </c>
      <c r="G18" s="25"/>
      <c r="H18" s="25"/>
      <c r="I18" s="25"/>
      <c r="J18" s="25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8" t="n">
        <f aca="false">IFERROR((C19-D19)/C19*100,0)</f>
        <v>0</v>
      </c>
      <c r="G19" s="24"/>
      <c r="H19" s="24"/>
      <c r="I19" s="24"/>
      <c r="J19" s="24"/>
    </row>
    <row r="20" customFormat="false" ht="15" hidden="false" customHeight="true" outlineLevel="0" collapsed="false">
      <c r="A20" s="25"/>
      <c r="B20" s="25"/>
      <c r="C20" s="25"/>
      <c r="D20" s="25"/>
      <c r="E20" s="25"/>
      <c r="F20" s="29" t="n">
        <f aca="false">IFERROR((C20-D20)/C20*100,0)</f>
        <v>0</v>
      </c>
      <c r="G20" s="25"/>
      <c r="H20" s="25"/>
      <c r="I20" s="25"/>
      <c r="J20" s="25"/>
    </row>
    <row r="21" customFormat="false" ht="15" hidden="false" customHeight="true" outlineLevel="0" collapsed="false">
      <c r="A21" s="24"/>
      <c r="B21" s="24"/>
      <c r="C21" s="24"/>
      <c r="D21" s="24"/>
      <c r="E21" s="24"/>
      <c r="F21" s="28" t="n">
        <f aca="false">IFERROR((C21-D21)/C21*100,0)</f>
        <v>0</v>
      </c>
      <c r="G21" s="24"/>
      <c r="H21" s="24"/>
      <c r="I21" s="24"/>
      <c r="J21" s="24"/>
    </row>
    <row r="22" customFormat="false" ht="15" hidden="false" customHeight="true" outlineLevel="0" collapsed="false">
      <c r="A22" s="25"/>
      <c r="B22" s="25"/>
      <c r="C22" s="25"/>
      <c r="D22" s="25"/>
      <c r="E22" s="25"/>
      <c r="F22" s="29" t="n">
        <f aca="false">IFERROR((C22-D22)/C22*100,0)</f>
        <v>0</v>
      </c>
      <c r="G22" s="25"/>
      <c r="H22" s="25"/>
      <c r="I22" s="25"/>
      <c r="J22" s="25"/>
    </row>
    <row r="23" customFormat="false" ht="15" hidden="false" customHeight="true" outlineLevel="0" collapsed="false">
      <c r="A23" s="24"/>
      <c r="B23" s="24"/>
      <c r="C23" s="24"/>
      <c r="D23" s="24"/>
      <c r="E23" s="24"/>
      <c r="F23" s="28" t="n">
        <f aca="false">IFERROR((C23-D23)/C23*100,0)</f>
        <v>0</v>
      </c>
      <c r="G23" s="24"/>
      <c r="H23" s="24"/>
      <c r="I23" s="24"/>
      <c r="J23" s="24"/>
    </row>
    <row r="24" customFormat="false" ht="15" hidden="false" customHeight="true" outlineLevel="0" collapsed="false">
      <c r="A24" s="25"/>
      <c r="B24" s="25"/>
      <c r="C24" s="25"/>
      <c r="D24" s="25"/>
      <c r="E24" s="25"/>
      <c r="F24" s="29" t="n">
        <f aca="false">IFERROR((C24-D24)/C24*100,0)</f>
        <v>0</v>
      </c>
      <c r="G24" s="25"/>
      <c r="H24" s="25"/>
      <c r="I24" s="25"/>
      <c r="J24" s="25"/>
    </row>
    <row r="25" customFormat="false" ht="15" hidden="false" customHeight="true" outlineLevel="0" collapsed="false">
      <c r="A25" s="24"/>
      <c r="B25" s="24"/>
      <c r="C25" s="24"/>
      <c r="D25" s="24"/>
      <c r="E25" s="24"/>
      <c r="F25" s="28" t="n">
        <f aca="false">IFERROR((C25-D25)/C25*100,0)</f>
        <v>0</v>
      </c>
      <c r="G25" s="24"/>
      <c r="H25" s="24"/>
      <c r="I25" s="24"/>
      <c r="J25" s="24"/>
    </row>
    <row r="26" customFormat="false" ht="15" hidden="false" customHeight="true" outlineLevel="0" collapsed="false">
      <c r="A26" s="25"/>
      <c r="B26" s="25"/>
      <c r="C26" s="25"/>
      <c r="D26" s="25"/>
      <c r="E26" s="25"/>
      <c r="F26" s="29" t="n">
        <f aca="false">IFERROR((C26-D26)/C26*100,0)</f>
        <v>0</v>
      </c>
      <c r="G26" s="25"/>
      <c r="H26" s="25"/>
      <c r="I26" s="25"/>
      <c r="J26" s="25"/>
    </row>
    <row r="27" customFormat="false" ht="15" hidden="false" customHeight="true" outlineLevel="0" collapsed="false">
      <c r="A27" s="24"/>
      <c r="B27" s="24"/>
      <c r="C27" s="24"/>
      <c r="D27" s="24"/>
      <c r="E27" s="24"/>
      <c r="F27" s="28" t="n">
        <f aca="false">IFERROR((C27-D27)/C27*100,0)</f>
        <v>0</v>
      </c>
      <c r="G27" s="24"/>
      <c r="H27" s="24"/>
      <c r="I27" s="24"/>
      <c r="J27" s="24"/>
    </row>
    <row r="28" customFormat="false" ht="15" hidden="false" customHeight="true" outlineLevel="0" collapsed="false">
      <c r="A28" s="25"/>
      <c r="B28" s="25"/>
      <c r="C28" s="25"/>
      <c r="D28" s="25"/>
      <c r="E28" s="25"/>
      <c r="F28" s="29" t="n">
        <f aca="false">IFERROR((C28-D28)/C28*100,0)</f>
        <v>0</v>
      </c>
      <c r="G28" s="25"/>
      <c r="H28" s="25"/>
      <c r="I28" s="25"/>
      <c r="J28" s="25"/>
    </row>
    <row r="29" customFormat="false" ht="15" hidden="false" customHeight="true" outlineLevel="0" collapsed="false">
      <c r="A29" s="24"/>
      <c r="B29" s="24"/>
      <c r="C29" s="24"/>
      <c r="D29" s="24"/>
      <c r="E29" s="24"/>
      <c r="F29" s="28" t="n">
        <f aca="false">IFERROR((C29-D29)/C29*100,0)</f>
        <v>0</v>
      </c>
      <c r="G29" s="24"/>
      <c r="H29" s="24"/>
      <c r="I29" s="24"/>
      <c r="J29" s="24"/>
    </row>
    <row r="30" customFormat="false" ht="15" hidden="false" customHeight="true" outlineLevel="0" collapsed="false">
      <c r="A30" s="25"/>
      <c r="B30" s="25"/>
      <c r="C30" s="25"/>
      <c r="D30" s="25"/>
      <c r="E30" s="25"/>
      <c r="F30" s="29" t="n">
        <f aca="false">IFERROR((C30-D30)/C30*100,0)</f>
        <v>0</v>
      </c>
      <c r="G30" s="25"/>
      <c r="H30" s="25"/>
      <c r="I30" s="25"/>
      <c r="J30" s="25"/>
    </row>
    <row r="31" customFormat="false" ht="15" hidden="false" customHeight="true" outlineLevel="0" collapsed="false">
      <c r="A31" s="24"/>
      <c r="B31" s="24"/>
      <c r="C31" s="24"/>
      <c r="D31" s="24"/>
      <c r="E31" s="24"/>
      <c r="F31" s="28" t="n">
        <f aca="false">IFERROR((C31-D31)/C31*100,0)</f>
        <v>0</v>
      </c>
      <c r="G31" s="24"/>
      <c r="H31" s="24"/>
      <c r="I31" s="24"/>
      <c r="J31" s="24"/>
    </row>
    <row r="32" customFormat="false" ht="15" hidden="false" customHeight="true" outlineLevel="0" collapsed="false">
      <c r="A32" s="25"/>
      <c r="B32" s="25"/>
      <c r="C32" s="25"/>
      <c r="D32" s="25"/>
      <c r="E32" s="25"/>
      <c r="F32" s="29" t="n">
        <f aca="false">IFERROR((C32-D32)/C32*100,0)</f>
        <v>0</v>
      </c>
      <c r="G32" s="25"/>
      <c r="H32" s="25"/>
      <c r="I32" s="25"/>
      <c r="J32" s="25"/>
    </row>
    <row r="33" customFormat="false" ht="15" hidden="false" customHeight="true" outlineLevel="0" collapsed="false">
      <c r="A33" s="24"/>
      <c r="B33" s="24"/>
      <c r="C33" s="24"/>
      <c r="D33" s="24"/>
      <c r="E33" s="24"/>
      <c r="F33" s="28" t="n">
        <f aca="false">IFERROR((C33-D33)/C33*100,0)</f>
        <v>0</v>
      </c>
      <c r="G33" s="24"/>
      <c r="H33" s="24"/>
      <c r="I33" s="24"/>
      <c r="J33" s="24"/>
    </row>
    <row r="34" customFormat="false" ht="15" hidden="false" customHeight="true" outlineLevel="0" collapsed="false">
      <c r="A34" s="25"/>
      <c r="B34" s="25"/>
      <c r="C34" s="25"/>
      <c r="D34" s="25"/>
      <c r="E34" s="25"/>
      <c r="F34" s="29" t="n">
        <f aca="false">IFERROR((C34-D34)/C34*100,0)</f>
        <v>0</v>
      </c>
      <c r="G34" s="25"/>
      <c r="H34" s="25"/>
      <c r="I34" s="25"/>
      <c r="J34" s="25"/>
    </row>
    <row r="35" customFormat="false" ht="15" hidden="false" customHeight="true" outlineLevel="0" collapsed="false">
      <c r="A35" s="24"/>
      <c r="B35" s="24"/>
      <c r="C35" s="24"/>
      <c r="D35" s="24"/>
      <c r="E35" s="24"/>
      <c r="F35" s="28" t="n">
        <f aca="false">IFERROR((C35-D35)/C35*100,0)</f>
        <v>0</v>
      </c>
      <c r="G35" s="24"/>
      <c r="H35" s="24"/>
      <c r="I35" s="24"/>
      <c r="J35" s="24"/>
    </row>
    <row r="36" customFormat="false" ht="15" hidden="false" customHeight="true" outlineLevel="0" collapsed="false">
      <c r="A36" s="25"/>
      <c r="B36" s="25"/>
      <c r="C36" s="25"/>
      <c r="D36" s="25"/>
      <c r="E36" s="25"/>
      <c r="F36" s="29" t="n">
        <f aca="false">IFERROR((C36-D36)/C36*100,0)</f>
        <v>0</v>
      </c>
      <c r="G36" s="25"/>
      <c r="H36" s="25"/>
      <c r="I36" s="25"/>
      <c r="J36" s="25"/>
    </row>
    <row r="37" customFormat="false" ht="15" hidden="false" customHeight="true" outlineLevel="0" collapsed="false">
      <c r="A37" s="24"/>
      <c r="B37" s="24"/>
      <c r="C37" s="24"/>
      <c r="D37" s="24"/>
      <c r="E37" s="24"/>
      <c r="F37" s="28" t="n">
        <f aca="false">IFERROR((C37-D37)/C37*100,0)</f>
        <v>0</v>
      </c>
      <c r="G37" s="24"/>
      <c r="H37" s="24"/>
      <c r="I37" s="24"/>
      <c r="J37" s="24"/>
    </row>
    <row r="38" customFormat="false" ht="15" hidden="false" customHeight="true" outlineLevel="0" collapsed="false">
      <c r="A38" s="25"/>
      <c r="B38" s="25"/>
      <c r="C38" s="25"/>
      <c r="D38" s="25"/>
      <c r="E38" s="25"/>
      <c r="F38" s="29" t="n">
        <f aca="false">IFERROR((C38-D38)/C38*100,0)</f>
        <v>0</v>
      </c>
      <c r="G38" s="25"/>
      <c r="H38" s="25"/>
      <c r="I38" s="25"/>
      <c r="J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8" t="n">
        <f aca="false">IFERROR((C39-D39)/C39*100,0)</f>
        <v>0</v>
      </c>
      <c r="G39" s="24"/>
      <c r="H39" s="24"/>
      <c r="I39" s="24"/>
      <c r="J39" s="24"/>
    </row>
    <row r="40" customFormat="false" ht="15" hidden="false" customHeight="true" outlineLevel="0" collapsed="false">
      <c r="A40" s="25"/>
      <c r="B40" s="25"/>
      <c r="C40" s="25"/>
      <c r="D40" s="25"/>
      <c r="E40" s="25"/>
      <c r="F40" s="29" t="n">
        <f aca="false">IFERROR((C40-D40)/C40*100,0)</f>
        <v>0</v>
      </c>
      <c r="G40" s="25"/>
      <c r="H40" s="25"/>
      <c r="I40" s="25"/>
      <c r="J40" s="25"/>
    </row>
    <row r="41" customFormat="false" ht="15" hidden="false" customHeight="true" outlineLevel="0" collapsed="false">
      <c r="A41" s="24"/>
      <c r="B41" s="24"/>
      <c r="C41" s="24"/>
      <c r="D41" s="24"/>
      <c r="E41" s="24"/>
      <c r="F41" s="28" t="n">
        <f aca="false">IFERROR((C41-D41)/C41*100,0)</f>
        <v>0</v>
      </c>
      <c r="G41" s="24"/>
      <c r="H41" s="24"/>
      <c r="I41" s="24"/>
      <c r="J41" s="24"/>
    </row>
    <row r="42" customFormat="false" ht="15" hidden="false" customHeight="true" outlineLevel="0" collapsed="false">
      <c r="A42" s="25"/>
      <c r="B42" s="25"/>
      <c r="C42" s="25"/>
      <c r="D42" s="25"/>
      <c r="E42" s="25"/>
      <c r="F42" s="29" t="n">
        <f aca="false">IFERROR((C42-D42)/C42*100,0)</f>
        <v>0</v>
      </c>
      <c r="G42" s="25"/>
      <c r="H42" s="25"/>
      <c r="I42" s="25"/>
      <c r="J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8" t="n">
        <f aca="false">IFERROR((C43-D43)/C43*100,0)</f>
        <v>0</v>
      </c>
      <c r="G43" s="24"/>
      <c r="H43" s="24"/>
      <c r="I43" s="24"/>
      <c r="J43" s="24"/>
    </row>
    <row r="44" customFormat="false" ht="15" hidden="false" customHeight="true" outlineLevel="0" collapsed="false">
      <c r="A44" s="25"/>
      <c r="B44" s="25"/>
      <c r="C44" s="25"/>
      <c r="D44" s="25"/>
      <c r="E44" s="25"/>
      <c r="F44" s="29" t="n">
        <f aca="false">IFERROR((C44-D44)/C44*100,0)</f>
        <v>0</v>
      </c>
      <c r="G44" s="25"/>
      <c r="H44" s="25"/>
      <c r="I44" s="25"/>
      <c r="J44" s="25"/>
    </row>
    <row r="45" customFormat="false" ht="15" hidden="false" customHeight="true" outlineLevel="0" collapsed="false">
      <c r="A45" s="24"/>
      <c r="B45" s="24"/>
      <c r="C45" s="24"/>
      <c r="D45" s="24"/>
      <c r="E45" s="24"/>
      <c r="F45" s="28" t="n">
        <f aca="false">IFERROR((C45-D45)/C45*100,0)</f>
        <v>0</v>
      </c>
      <c r="G45" s="24"/>
      <c r="H45" s="24"/>
      <c r="I45" s="24"/>
      <c r="J45" s="24"/>
    </row>
    <row r="46" customFormat="false" ht="15" hidden="false" customHeight="true" outlineLevel="0" collapsed="false">
      <c r="A46" s="25"/>
      <c r="B46" s="25"/>
      <c r="C46" s="25"/>
      <c r="D46" s="25"/>
      <c r="E46" s="25"/>
      <c r="F46" s="29" t="n">
        <f aca="false">IFERROR((C46-D46)/C46*100,0)</f>
        <v>0</v>
      </c>
      <c r="G46" s="25"/>
      <c r="H46" s="25"/>
      <c r="I46" s="25"/>
      <c r="J46" s="25"/>
    </row>
    <row r="47" customFormat="false" ht="15" hidden="false" customHeight="true" outlineLevel="0" collapsed="false">
      <c r="A47" s="24"/>
      <c r="B47" s="24"/>
      <c r="C47" s="24"/>
      <c r="D47" s="24"/>
      <c r="E47" s="24"/>
      <c r="F47" s="28" t="n">
        <f aca="false">IFERROR((C47-D47)/C47*100,0)</f>
        <v>0</v>
      </c>
      <c r="G47" s="24"/>
      <c r="H47" s="24"/>
      <c r="I47" s="24"/>
      <c r="J47" s="24"/>
    </row>
    <row r="48" customFormat="false" ht="15" hidden="false" customHeight="true" outlineLevel="0" collapsed="false">
      <c r="A48" s="25"/>
      <c r="B48" s="25"/>
      <c r="C48" s="25"/>
      <c r="D48" s="25"/>
      <c r="E48" s="25"/>
      <c r="F48" s="29" t="n">
        <f aca="false">IFERROR((C48-D48)/C48*100,0)</f>
        <v>0</v>
      </c>
      <c r="G48" s="25"/>
      <c r="H48" s="25"/>
      <c r="I48" s="25"/>
      <c r="J48" s="25"/>
    </row>
    <row r="49" customFormat="false" ht="15" hidden="false" customHeight="true" outlineLevel="0" collapsed="false">
      <c r="A49" s="24"/>
      <c r="B49" s="24"/>
      <c r="C49" s="24"/>
      <c r="D49" s="24"/>
      <c r="E49" s="24"/>
      <c r="F49" s="28" t="n">
        <f aca="false">IFERROR((C49-D49)/C49*100,0)</f>
        <v>0</v>
      </c>
      <c r="G49" s="24"/>
      <c r="H49" s="24"/>
      <c r="I49" s="24"/>
      <c r="J49" s="24"/>
    </row>
    <row r="50" customFormat="false" ht="15" hidden="false" customHeight="true" outlineLevel="0" collapsed="false">
      <c r="A50" s="25"/>
      <c r="B50" s="25"/>
      <c r="C50" s="25"/>
      <c r="D50" s="25"/>
      <c r="E50" s="25"/>
      <c r="F50" s="29" t="n">
        <f aca="false">IFERROR((C50-D50)/C50*100,0)</f>
        <v>0</v>
      </c>
      <c r="G50" s="25"/>
      <c r="H50" s="25"/>
      <c r="I50" s="25"/>
      <c r="J50" s="25"/>
    </row>
    <row r="51" customFormat="false" ht="15" hidden="false" customHeight="true" outlineLevel="0" collapsed="false">
      <c r="A51" s="24"/>
      <c r="B51" s="24"/>
      <c r="C51" s="24"/>
      <c r="D51" s="24"/>
      <c r="E51" s="24"/>
      <c r="F51" s="28" t="n">
        <f aca="false">IFERROR((C51-D51)/C51*100,0)</f>
        <v>0</v>
      </c>
      <c r="G51" s="24"/>
      <c r="H51" s="24"/>
      <c r="I51" s="24"/>
      <c r="J51" s="24"/>
    </row>
    <row r="52" customFormat="false" ht="15" hidden="false" customHeight="true" outlineLevel="0" collapsed="false">
      <c r="A52" s="25"/>
      <c r="B52" s="25"/>
      <c r="C52" s="25"/>
      <c r="D52" s="25"/>
      <c r="E52" s="25"/>
      <c r="F52" s="29" t="n">
        <f aca="false">IFERROR((C52-D52)/C52*100,0)</f>
        <v>0</v>
      </c>
      <c r="G52" s="25"/>
      <c r="H52" s="25"/>
      <c r="I52" s="25"/>
      <c r="J52" s="25"/>
    </row>
    <row r="53" customFormat="false" ht="15" hidden="false" customHeight="true" outlineLevel="0" collapsed="false">
      <c r="A53" s="24"/>
      <c r="B53" s="24"/>
      <c r="C53" s="24"/>
      <c r="D53" s="24"/>
      <c r="E53" s="24"/>
      <c r="F53" s="28" t="n">
        <f aca="false">IFERROR((C53-D53)/C53*100,0)</f>
        <v>0</v>
      </c>
      <c r="G53" s="24"/>
      <c r="H53" s="24"/>
      <c r="I53" s="24"/>
      <c r="J53" s="24"/>
    </row>
    <row r="54" customFormat="false" ht="15" hidden="false" customHeight="true" outlineLevel="0" collapsed="false">
      <c r="A54" s="25"/>
      <c r="B54" s="25"/>
      <c r="C54" s="25"/>
      <c r="D54" s="25"/>
      <c r="E54" s="25"/>
      <c r="F54" s="29" t="n">
        <f aca="false">IFERROR((C54-D54)/C54*100,0)</f>
        <v>0</v>
      </c>
      <c r="G54" s="25"/>
      <c r="H54" s="25"/>
      <c r="I54" s="25"/>
      <c r="J54" s="25"/>
    </row>
    <row r="55" customFormat="false" ht="15" hidden="false" customHeight="true" outlineLevel="0" collapsed="false">
      <c r="A55" s="24"/>
      <c r="B55" s="24"/>
      <c r="C55" s="24"/>
      <c r="D55" s="24"/>
      <c r="E55" s="24"/>
      <c r="F55" s="28" t="n">
        <f aca="false">IFERROR((C55-D55)/C55*100,0)</f>
        <v>0</v>
      </c>
      <c r="G55" s="24"/>
      <c r="H55" s="24"/>
      <c r="I55" s="24"/>
      <c r="J55" s="24"/>
    </row>
    <row r="56" customFormat="false" ht="15" hidden="false" customHeight="true" outlineLevel="0" collapsed="false">
      <c r="A56" s="25"/>
      <c r="B56" s="25"/>
      <c r="C56" s="25"/>
      <c r="D56" s="25"/>
      <c r="E56" s="25"/>
      <c r="F56" s="29" t="n">
        <f aca="false">IFERROR((C56-D56)/C56*100,0)</f>
        <v>0</v>
      </c>
      <c r="G56" s="25"/>
      <c r="H56" s="25"/>
      <c r="I56" s="25"/>
      <c r="J56" s="25"/>
    </row>
  </sheetData>
  <mergeCells count="4">
    <mergeCell ref="A1:J1"/>
    <mergeCell ref="A2:J2"/>
    <mergeCell ref="A3:J3"/>
    <mergeCell ref="A4:J4"/>
  </mergeCells>
  <dataValidations count="1">
    <dataValidation allowBlank="false" errorStyle="stop" operator="between" showDropDown="false" showErrorMessage="false" showInputMessage="false" sqref="G7:G6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2026-03-29T22:45:53Z</dcterms:created>
  <dc:creator>openpyxl</dc:creator>
  <dc:description/>
  <dc:language>en-US</dc:language>
  <cp:lastModifiedBy/>
  <dcterms:modified xsi:type="dcterms:W3CDTF">2026-03-29T22:46:51Z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