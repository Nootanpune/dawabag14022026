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2_Partner_Profile" sheetId="2" state="visible" r:id="rId2"/>
    <sheet xmlns:r="http://schemas.openxmlformats.org/officeDocument/2006/relationships" name="3_Product_Submission" sheetId="3" state="visible" r:id="rId3"/>
    <sheet xmlns:r="http://schemas.openxmlformats.org/officeDocument/2006/relationships" name="4_Opening_Stock" sheetId="4" state="visible" r:id="rId4"/>
    <sheet xmlns:r="http://schemas.openxmlformats.org/officeDocument/2006/relationships" name="5_Pricing_and_Margi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4444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C447C"/>
      <sz val="10"/>
    </font>
    <font>
      <name val="Arial"/>
      <charset val="1"/>
      <family val="0"/>
      <color rgb="FF444441"/>
      <sz val="10"/>
    </font>
    <font>
      <name val="Arial"/>
      <charset val="1"/>
      <family val="0"/>
      <color rgb="FF791F1F"/>
      <sz val="10"/>
    </font>
    <font>
      <name val="Arial"/>
      <charset val="1"/>
      <family val="0"/>
      <color rgb="FF1A8856"/>
      <sz val="10"/>
    </font>
    <font>
      <name val="Arial"/>
      <charset val="1"/>
      <family val="0"/>
      <b val="1"/>
      <color rgb="FF856404"/>
      <sz val="9"/>
    </font>
    <font>
      <name val="Arial"/>
      <charset val="1"/>
      <family val="0"/>
      <color rgb="FF888780"/>
      <sz val="9"/>
    </font>
    <font>
      <name val="Arial"/>
      <charset val="1"/>
      <family val="0"/>
      <b val="1"/>
      <color rgb="FFFFD700"/>
      <sz val="10"/>
    </font>
    <font>
      <name val="Arial"/>
      <charset val="1"/>
      <family val="0"/>
      <i val="1"/>
      <color rgb="FF5F5E5A"/>
      <sz val="9"/>
    </font>
    <font>
      <name val="Arial"/>
      <charset val="1"/>
      <family val="0"/>
      <b val="1"/>
      <color rgb="FF0C447C"/>
      <sz val="10"/>
    </font>
    <font>
      <name val="Arial"/>
      <charset val="1"/>
      <family val="0"/>
      <b val="1"/>
      <color rgb="FF0C447C"/>
      <sz val="11"/>
    </font>
    <font>
      <name val="Arial"/>
      <charset val="1"/>
      <family val="0"/>
      <b val="1"/>
      <color rgb="FF126840"/>
      <sz val="10"/>
    </font>
  </fonts>
  <fills count="12">
    <fill>
      <patternFill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E6F1FB"/>
        <bgColor rgb="FFE8F4FD"/>
      </patternFill>
    </fill>
    <fill>
      <patternFill patternType="solid">
        <fgColor rgb="FFFFFFFF"/>
        <bgColor rgb="FFF0F8FF"/>
      </patternFill>
    </fill>
    <fill>
      <patternFill patternType="solid">
        <fgColor rgb="FF791F1F"/>
        <bgColor rgb="FF800000"/>
      </patternFill>
    </fill>
    <fill>
      <patternFill patternType="solid">
        <fgColor rgb="FFFCEBEB"/>
        <bgColor rgb="FFFFF3CD"/>
      </patternFill>
    </fill>
    <fill>
      <patternFill patternType="solid">
        <fgColor rgb="FF1A8856"/>
        <bgColor rgb="FF008080"/>
      </patternFill>
    </fill>
    <fill>
      <patternFill patternType="solid">
        <fgColor rgb="FFEDFAF4"/>
        <bgColor rgb="FFF0F8FF"/>
      </patternFill>
    </fill>
    <fill>
      <patternFill patternType="solid">
        <fgColor rgb="FFFFF3CD"/>
        <bgColor rgb="FFFCEBEB"/>
      </patternFill>
    </fill>
    <fill>
      <patternFill patternType="solid">
        <fgColor rgb="FFF0F8FF"/>
        <bgColor rgb="FFEDFAF4"/>
      </patternFill>
    </fill>
    <fill>
      <patternFill patternType="solid">
        <fgColor rgb="FFE8F4FD"/>
        <bgColor rgb="FFE6F1FB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general" vertical="bottom"/>
    </xf>
    <xf numFmtId="0" fontId="17" fillId="3" borderId="1" applyAlignment="1" pivotButton="0" quotePrefix="0" xfId="0">
      <alignment horizontal="general" vertical="bottom"/>
    </xf>
    <xf numFmtId="164" fontId="18" fillId="10" borderId="1" applyAlignment="1" pivotButton="0" quotePrefix="0" xfId="0">
      <alignment horizontal="left" vertical="center" wrapText="1"/>
    </xf>
    <xf numFmtId="164" fontId="18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general" vertical="bottom"/>
    </xf>
    <xf numFmtId="0" fontId="0" fillId="0" borderId="4" pivotButton="0" quotePrefix="0" xfId="0"/>
    <xf numFmtId="0" fontId="17" fillId="3" borderId="1" applyAlignment="1" pivotButton="0" quotePrefix="0" xfId="0">
      <alignment horizontal="general" vertical="bottom"/>
    </xf>
    <xf numFmtId="164" fontId="18" fillId="10" borderId="1" applyAlignment="1" pivotButton="0" quotePrefix="0" xfId="0">
      <alignment horizontal="left" vertical="center" wrapText="1"/>
    </xf>
    <xf numFmtId="164" fontId="18" fillId="11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6840"/>
      <rgbColor rgb="FF000080"/>
      <rgbColor rgb="FF856404"/>
      <rgbColor rgb="FF800080"/>
      <rgbColor rgb="FF008080"/>
      <rgbColor rgb="FFCCCCCC"/>
      <rgbColor rgb="FF888780"/>
      <rgbColor rgb="FF9999FF"/>
      <rgbColor rgb="FF993366"/>
      <rgbColor rgb="FFFFF3CD"/>
      <rgbColor rgb="FFE8F4FD"/>
      <rgbColor rgb="FF660066"/>
      <rgbColor rgb="FFFF8080"/>
      <rgbColor rgb="FF0066CC"/>
      <rgbColor rgb="FFF0F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DFAF4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5F5E5A"/>
      <rgbColor rgb="FF969696"/>
      <rgbColor rgb="FF0C447C"/>
      <rgbColor rgb="FF1A8856"/>
      <rgbColor rgb="FF003300"/>
      <rgbColor rgb="FF333300"/>
      <rgbColor rgb="FF791F1F"/>
      <rgbColor rgb="FF993366"/>
      <rgbColor rgb="FF333399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0" min="1" max="1"/>
    <col width="34" customWidth="1" style="30" min="2" max="2"/>
    <col width="52" customWidth="1" style="30" min="3" max="3"/>
    <col width="20" customWidth="1" style="30" min="4" max="4"/>
  </cols>
  <sheetData>
    <row r="1" ht="39.75" customHeight="1" s="31">
      <c r="A1" s="32" t="inlineStr">
        <is>
          <t xml:space="preserve">  DAWABAG PARTNER PORTAL — INVENTORY SUBMISSION GUIDE</t>
        </is>
      </c>
    </row>
    <row r="2" ht="21.75" customHeight="1" s="31">
      <c r="A2" s="33" t="inlineStr">
        <is>
          <t xml:space="preserve">  For approved Dawabag marketplace partners  |  Fill all sheets then email to partner@dawabag.in</t>
        </is>
      </c>
    </row>
    <row r="4" ht="27.75" customHeight="1" s="31">
      <c r="A4" s="34" t="n"/>
      <c r="B4" s="34" t="inlineStr">
        <is>
          <t>SHEET</t>
        </is>
      </c>
      <c r="C4" s="35" t="inlineStr">
        <is>
          <t>WHAT TO FILL</t>
        </is>
      </c>
      <c r="D4" s="35" t="inlineStr">
        <is>
          <t>WHO FILLS</t>
        </is>
      </c>
    </row>
    <row r="5" ht="21.75" customHeight="1" s="31">
      <c r="A5" s="36" t="n"/>
      <c r="B5" s="36" t="inlineStr">
        <is>
          <t>Sheet 2 - Partner Profile</t>
        </is>
      </c>
      <c r="C5" s="36" t="inlineStr">
        <is>
          <t>Business details drug license GST bank commission terms</t>
        </is>
      </c>
      <c r="D5" s="36" t="inlineStr">
        <is>
          <t>Owner</t>
        </is>
      </c>
    </row>
    <row r="6" ht="21.75" customHeight="1" s="31">
      <c r="A6" s="37" t="n"/>
      <c r="B6" s="37" t="inlineStr">
        <is>
          <t>Sheet 3 - Product Submission</t>
        </is>
      </c>
      <c r="C6" s="37" t="inlineStr">
        <is>
          <t>Full list of medicines you want posted on portal</t>
        </is>
      </c>
      <c r="D6" s="37" t="inlineStr">
        <is>
          <t>Pharmacist or Owner</t>
        </is>
      </c>
    </row>
    <row r="7" ht="21.75" customHeight="1" s="31">
      <c r="A7" s="38" t="n"/>
      <c r="B7" s="38" t="inlineStr">
        <is>
          <t>Sheet 4 - Opening Stock</t>
        </is>
      </c>
      <c r="C7" s="38" t="inlineStr">
        <is>
          <t>Current stock batch expiry qty for each product</t>
        </is>
      </c>
      <c r="D7" s="38" t="inlineStr">
        <is>
          <t>Pharmacist</t>
        </is>
      </c>
    </row>
    <row r="8" ht="21.75" customHeight="1" s="31">
      <c r="A8" s="37" t="n"/>
      <c r="B8" s="37" t="inlineStr">
        <is>
          <t>Sheet 5 - Pricing and Margin</t>
        </is>
      </c>
      <c r="C8" s="37" t="inlineStr">
        <is>
          <t>Your supply price to Dawabag and margin details</t>
        </is>
      </c>
      <c r="D8" s="37" t="inlineStr">
        <is>
          <t>Owner</t>
        </is>
      </c>
    </row>
    <row r="10" ht="25.5" customHeight="1" s="31">
      <c r="A10" s="39" t="n"/>
      <c r="B10" s="39" t="inlineStr">
        <is>
          <t>MANDATORY RULES</t>
        </is>
      </c>
      <c r="C10" s="40" t="n"/>
      <c r="D10" s="40" t="n"/>
    </row>
    <row r="11" ht="19.5" customHeight="1" s="31">
      <c r="A11" s="41" t="n"/>
      <c r="B11" s="41" t="inlineStr">
        <is>
          <t>Rule 1</t>
        </is>
      </c>
      <c r="C11" s="41" t="inlineStr">
        <is>
          <t>Only submit products currently in stock with valid expiry</t>
        </is>
      </c>
      <c r="D11" s="41" t="n"/>
    </row>
    <row r="12" ht="19.5" customHeight="1" s="31">
      <c r="A12" s="37" t="n"/>
      <c r="B12" s="37" t="inlineStr">
        <is>
          <t>Rule 2</t>
        </is>
      </c>
      <c r="C12" s="37" t="inlineStr">
        <is>
          <t>Drug schedule must match product label exactly</t>
        </is>
      </c>
      <c r="D12" s="37" t="n"/>
    </row>
    <row r="13" ht="19.5" customHeight="1" s="31">
      <c r="A13" s="42" t="n"/>
      <c r="B13" s="42" t="inlineStr">
        <is>
          <t>Rule 3</t>
        </is>
      </c>
      <c r="C13" s="42" t="inlineStr">
        <is>
          <t>Batch number AND expiry date are mandatory</t>
        </is>
      </c>
      <c r="D13" s="42" t="n"/>
    </row>
    <row r="14" ht="19.5" customHeight="1" s="31">
      <c r="A14" s="37" t="n"/>
      <c r="B14" s="37" t="inlineStr">
        <is>
          <t>Rule 4</t>
        </is>
      </c>
      <c r="C14" s="37" t="inlineStr">
        <is>
          <t>Expiry must be MINIMUM 6 MONTHS from today</t>
        </is>
      </c>
      <c r="D14" s="37" t="n"/>
    </row>
    <row r="15" ht="19.5" customHeight="1" s="31">
      <c r="A15" s="42" t="n"/>
      <c r="B15" s="42" t="inlineStr">
        <is>
          <t>Rule 5</t>
        </is>
      </c>
      <c r="C15" s="42" t="inlineStr">
        <is>
          <t>HSN code must be 8-digit code from product carton</t>
        </is>
      </c>
      <c r="D15" s="42" t="n"/>
    </row>
    <row r="16" ht="19.5" customHeight="1" s="31">
      <c r="A16" s="37" t="n"/>
      <c r="B16" s="37" t="inlineStr">
        <is>
          <t>Rule 6</t>
        </is>
      </c>
      <c r="C16" s="37" t="inlineStr">
        <is>
          <t>Supply price must be at or below PTR</t>
        </is>
      </c>
      <c r="D16" s="37" t="n"/>
    </row>
    <row r="17" ht="19.5" customHeight="1" s="31">
      <c r="A17" s="41" t="n"/>
      <c r="B17" s="41" t="inlineStr">
        <is>
          <t>Rule 7</t>
        </is>
      </c>
      <c r="C17" s="41" t="inlineStr">
        <is>
          <t>NDPS and Schedule X drugs CANNOT be submitted</t>
        </is>
      </c>
      <c r="D17" s="41" t="n"/>
    </row>
    <row r="18" ht="19.5" customHeight="1" s="31">
      <c r="A18" s="37" t="n"/>
      <c r="B18" s="37" t="inlineStr">
        <is>
          <t>Rule 8</t>
        </is>
      </c>
      <c r="C18" s="37" t="inlineStr">
        <is>
          <t>Do NOT change column headings</t>
        </is>
      </c>
      <c r="D18" s="37" t="n"/>
    </row>
    <row r="20" ht="25.5" customHeight="1" s="31">
      <c r="A20" s="43" t="n"/>
      <c r="B20" s="43" t="inlineStr">
        <is>
          <t>SUBMISSION STEPS</t>
        </is>
      </c>
      <c r="C20" s="44" t="n"/>
      <c r="D20" s="44" t="n"/>
    </row>
    <row r="21" ht="21.75" customHeight="1" s="31">
      <c r="A21" s="45" t="n"/>
      <c r="B21" s="45" t="inlineStr">
        <is>
          <t>Step 1</t>
        </is>
      </c>
      <c r="C21" s="45" t="inlineStr">
        <is>
          <t>Fill all 4 sheets completely</t>
        </is>
      </c>
      <c r="D21" s="45" t="n"/>
    </row>
    <row r="22" ht="21.75" customHeight="1" s="31">
      <c r="A22" s="37" t="n"/>
      <c r="B22" s="37" t="inlineStr">
        <is>
          <t>Step 2</t>
        </is>
      </c>
      <c r="C22" s="37" t="inlineStr">
        <is>
          <t>Email to partner@dawabag.in with subject Inventory and your business name</t>
        </is>
      </c>
      <c r="D22" s="37" t="n"/>
    </row>
    <row r="23" ht="21.75" customHeight="1" s="31">
      <c r="A23" s="46" t="n"/>
      <c r="B23" s="46" t="inlineStr">
        <is>
          <t>Step 3</t>
        </is>
      </c>
      <c r="C23" s="46" t="inlineStr">
        <is>
          <t>Dawabag team reviews within 2-3 working days and approves or rejects each product individually</t>
        </is>
      </c>
      <c r="D23" s="46" t="n"/>
    </row>
    <row r="24" ht="21.75" customHeight="1" s="31">
      <c r="A24" s="37" t="n"/>
      <c r="B24" s="37" t="inlineStr">
        <is>
          <t>Step 4</t>
        </is>
      </c>
      <c r="C24" s="37" t="inlineStr">
        <is>
          <t>Approved products go live on portal tagged to your pincode</t>
        </is>
      </c>
      <c r="D24" s="37" t="n"/>
    </row>
    <row r="25" ht="21.75" customHeight="1" s="31">
      <c r="A25" s="46" t="n"/>
      <c r="B25" s="46" t="inlineStr">
        <is>
          <t>Step 5</t>
        </is>
      </c>
      <c r="C25" s="46" t="inlineStr">
        <is>
          <t>Update stock weekly by resubmitting Sheet 4 only</t>
        </is>
      </c>
      <c r="D25" s="46" t="n"/>
    </row>
    <row r="27">
      <c r="B27" t="inlineStr">
        <is>
          <t>Supplier columns (Sheet 4): supplier_name, supplier_licence_no, supplier_invoice_no, supplier_invoice_date are optional. In the partner portal stock-file upload they are read automatically; once recorded for a batch they cannot be changed (add missing ones in Partner portal → Batch suppliers).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0" min="1" max="1"/>
    <col width="48" customWidth="1" style="30" min="2" max="2"/>
    <col width="36" customWidth="1" style="30" min="3" max="3"/>
  </cols>
  <sheetData>
    <row r="1" ht="43.5" customHeight="1" s="31">
      <c r="A1" s="32" t="inlineStr">
        <is>
          <t xml:space="preserve">  DAWABAG — PARTNER PROFILE — BUSINESS AND LICENSE DETAILS</t>
        </is>
      </c>
    </row>
    <row r="2" ht="21.75" customHeight="1" s="31">
      <c r="A2" s="47" t="inlineStr">
        <is>
          <t xml:space="preserve">  Fill every mandatory field. Used for KYC, drug license verification, GST compliance, and bank settlement.</t>
        </is>
      </c>
    </row>
    <row r="3" ht="19.5" customHeight="1" s="31">
      <c r="A3" s="48" t="inlineStr">
        <is>
          <t xml:space="preserve">  * = Mandatory  |  Do NOT change column headings  |  Fill completely before submitting</t>
        </is>
      </c>
    </row>
    <row r="4" ht="13.5" customHeight="1" s="31">
      <c r="A4" s="49" t="inlineStr">
        <is>
          <t xml:space="preserve">  Submitted by: _______________   Date: 29 Mar 2026</t>
        </is>
      </c>
    </row>
    <row r="5" ht="33.75" customHeight="1" s="31">
      <c r="A5" s="50" t="inlineStr">
        <is>
          <t>* Field</t>
        </is>
      </c>
      <c r="B5" s="50" t="inlineStr">
        <is>
          <t>* Your Answer</t>
        </is>
      </c>
      <c r="C5" s="51" t="inlineStr">
        <is>
          <t>Notes</t>
        </is>
      </c>
    </row>
    <row r="6" ht="24" customHeight="1" s="31">
      <c r="A6" s="34" t="inlineStr">
        <is>
          <t>--- A — BUSINESS IDENTITY ---</t>
        </is>
      </c>
      <c r="B6" s="34" t="n"/>
      <c r="C6" s="34" t="n"/>
    </row>
    <row r="7" ht="21.75" customHeight="1" s="31">
      <c r="A7" s="52" t="inlineStr">
        <is>
          <t>* Registered Business Name</t>
        </is>
      </c>
      <c r="B7" s="52" t="n"/>
      <c r="C7" s="52" t="inlineStr">
        <is>
          <t>Full legal name as on drug license</t>
        </is>
      </c>
    </row>
    <row r="8" ht="21.75" customHeight="1" s="31">
      <c r="A8" s="36" t="inlineStr">
        <is>
          <t>* Trade Name if different</t>
        </is>
      </c>
      <c r="B8" s="36" t="n"/>
      <c r="C8" s="36" t="inlineStr">
        <is>
          <t>Name shown to customers on Dawabag</t>
        </is>
      </c>
    </row>
    <row r="9" ht="21.75" customHeight="1" s="31">
      <c r="A9" s="52" t="inlineStr">
        <is>
          <t>* Business Type</t>
        </is>
      </c>
      <c r="B9" s="52" t="n"/>
      <c r="C9" s="52" t="inlineStr">
        <is>
          <t>Sole Proprietorship or Partnership or Pvt Ltd or LLP</t>
        </is>
      </c>
    </row>
    <row r="10" ht="21.75" customHeight="1" s="31">
      <c r="A10" s="36" t="inlineStr">
        <is>
          <t>* Owner or Authorised Person Name</t>
        </is>
      </c>
      <c r="B10" s="36" t="n"/>
      <c r="C10" s="36" t="inlineStr">
        <is>
          <t>Person signing partner agreement</t>
        </is>
      </c>
    </row>
    <row r="11" ht="21.75" customHeight="1" s="31">
      <c r="A11" s="52" t="inlineStr">
        <is>
          <t>* Mobile Number becomes login ID</t>
        </is>
      </c>
      <c r="B11" s="52" t="n"/>
      <c r="C11" s="52" t="inlineStr">
        <is>
          <t>10-digit mobile</t>
        </is>
      </c>
    </row>
    <row r="12" ht="21.75" customHeight="1" s="31">
      <c r="A12" s="36" t="inlineStr">
        <is>
          <t>* Business Email</t>
        </is>
      </c>
      <c r="B12" s="36" t="n"/>
      <c r="C12" s="36" t="inlineStr">
        <is>
          <t>For orders invoices settlement statements</t>
        </is>
      </c>
    </row>
    <row r="13" ht="21.75" customHeight="1" s="31">
      <c r="A13" s="37" t="inlineStr">
        <is>
          <t>Year of Establishment</t>
        </is>
      </c>
      <c r="B13" s="37" t="n"/>
      <c r="C13" s="37" t="inlineStr">
        <is>
          <t>e.g. 2015</t>
        </is>
      </c>
    </row>
    <row r="14" ht="24" customHeight="1" s="31">
      <c r="A14" s="34" t="inlineStr">
        <is>
          <t>--- B — LICENCE AND COMPLIANCE ---</t>
        </is>
      </c>
      <c r="B14" s="34" t="n"/>
      <c r="C14" s="34" t="n"/>
    </row>
    <row r="15" ht="21.75" customHeight="1" s="31">
      <c r="A15" s="52" t="inlineStr">
        <is>
          <t>* Retail Drug License No DL-20 or 21</t>
        </is>
      </c>
      <c r="B15" s="52" t="n"/>
      <c r="C15" s="52" t="inlineStr">
        <is>
          <t>e.g. MH/NAS/2020/RDL/0089</t>
        </is>
      </c>
    </row>
    <row r="16" ht="21.75" customHeight="1" s="31">
      <c r="A16" s="38" t="inlineStr">
        <is>
          <t>Wholesale Drug License No DL-20C or 21C</t>
        </is>
      </c>
      <c r="B16" s="38" t="n"/>
      <c r="C16" s="38" t="inlineStr">
        <is>
          <t>Fill if you have wholesale license</t>
        </is>
      </c>
    </row>
    <row r="17" ht="21.75" customHeight="1" s="31">
      <c r="A17" s="52" t="inlineStr">
        <is>
          <t>* Drug License Expiry Date</t>
        </is>
      </c>
      <c r="B17" s="52" t="n"/>
      <c r="C17" s="52" t="inlineStr">
        <is>
          <t>DD/MM/YYYY</t>
        </is>
      </c>
    </row>
    <row r="18" ht="21.75" customHeight="1" s="31">
      <c r="A18" s="36" t="inlineStr">
        <is>
          <t>* GST Number GSTIN</t>
        </is>
      </c>
      <c r="B18" s="36" t="n"/>
      <c r="C18" s="36" t="inlineStr">
        <is>
          <t>15-digit e.g. 27AABCS1234M1Z5</t>
        </is>
      </c>
    </row>
    <row r="19" ht="21.75" customHeight="1" s="31">
      <c r="A19" s="37" t="inlineStr">
        <is>
          <t>GST Type</t>
        </is>
      </c>
      <c r="B19" s="37" t="n"/>
      <c r="C19" s="37" t="inlineStr">
        <is>
          <t>Regular or Composition or Unregistered</t>
        </is>
      </c>
    </row>
    <row r="20" ht="21.75" customHeight="1" s="31">
      <c r="A20" s="36" t="inlineStr">
        <is>
          <t>* PAN Number</t>
        </is>
      </c>
      <c r="B20" s="36" t="n"/>
      <c r="C20" s="36" t="inlineStr">
        <is>
          <t>10-character PAN</t>
        </is>
      </c>
    </row>
    <row r="21" ht="21.75" customHeight="1" s="31">
      <c r="A21" s="37" t="inlineStr">
        <is>
          <t>FSSAI License No</t>
        </is>
      </c>
      <c r="B21" s="37" t="n"/>
      <c r="C21" s="37" t="inlineStr">
        <is>
          <t>Optional for food supplements only</t>
        </is>
      </c>
    </row>
    <row r="22" ht="24" customHeight="1" s="31">
      <c r="A22" s="34" t="inlineStr">
        <is>
          <t>--- C — PREMISES AND COVERAGE ---</t>
        </is>
      </c>
      <c r="B22" s="34" t="n"/>
      <c r="C22" s="34" t="n"/>
    </row>
    <row r="23" ht="21.75" customHeight="1" s="31">
      <c r="A23" s="52" t="inlineStr">
        <is>
          <t>* Pharmacy Address Line 1</t>
        </is>
      </c>
      <c r="B23" s="52" t="n"/>
      <c r="C23" s="52" t="inlineStr">
        <is>
          <t>Building number and street</t>
        </is>
      </c>
    </row>
    <row r="24" ht="21.75" customHeight="1" s="31">
      <c r="A24" s="38" t="inlineStr">
        <is>
          <t>Address Line 2</t>
        </is>
      </c>
      <c r="B24" s="38" t="n"/>
      <c r="C24" s="38" t="inlineStr">
        <is>
          <t>Landmark or area</t>
        </is>
      </c>
    </row>
    <row r="25" ht="21.75" customHeight="1" s="31">
      <c r="A25" s="52" t="inlineStr">
        <is>
          <t>* City</t>
        </is>
      </c>
      <c r="B25" s="52" t="n"/>
      <c r="C25" s="52" t="inlineStr">
        <is>
          <t>e.g. Nashik</t>
        </is>
      </c>
    </row>
    <row r="26" ht="21.75" customHeight="1" s="31">
      <c r="A26" s="36" t="inlineStr">
        <is>
          <t>* State</t>
        </is>
      </c>
      <c r="B26" s="36" t="n"/>
      <c r="C26" s="36" t="inlineStr">
        <is>
          <t>e.g. Maharashtra</t>
        </is>
      </c>
    </row>
    <row r="27" ht="21.75" customHeight="1" s="31">
      <c r="A27" s="52" t="inlineStr">
        <is>
          <t>* Primary Pincode</t>
        </is>
      </c>
      <c r="B27" s="52" t="n"/>
      <c r="C27" s="52" t="inlineStr">
        <is>
          <t>6-digit main service pincode</t>
        </is>
      </c>
    </row>
    <row r="28" ht="21.75" customHeight="1" s="31">
      <c r="A28" s="38" t="inlineStr">
        <is>
          <t>Additional Pincodes you can service</t>
        </is>
      </c>
      <c r="B28" s="38" t="n"/>
      <c r="C28" s="38" t="inlineStr">
        <is>
          <t>Comma separated e.g. 422001 422003</t>
        </is>
      </c>
    </row>
    <row r="29" ht="21.75" customHeight="1" s="31">
      <c r="A29" s="52" t="inlineStr">
        <is>
          <t>* Max delivery radius km</t>
        </is>
      </c>
      <c r="B29" s="52" t="n"/>
      <c r="C29" s="52" t="inlineStr">
        <is>
          <t>e.g. 10 km from your shop</t>
        </is>
      </c>
    </row>
    <row r="30" ht="21.75" customHeight="1" s="31">
      <c r="A30" s="38" t="inlineStr">
        <is>
          <t>Own delivery or need Dawabag courier</t>
        </is>
      </c>
      <c r="B30" s="38" t="n"/>
      <c r="C30" s="38" t="inlineStr">
        <is>
          <t>OWN DELIVERY or NEED DAWABAG COURIER</t>
        </is>
      </c>
    </row>
    <row r="31" ht="24" customHeight="1" s="31">
      <c r="A31" s="34" t="inlineStr">
        <is>
          <t>--- D — MEDICINE CATEGORIES ---</t>
        </is>
      </c>
      <c r="B31" s="34" t="n"/>
      <c r="C31" s="34" t="n"/>
    </row>
    <row r="32" ht="21.75" customHeight="1" s="31">
      <c r="A32" s="38" t="inlineStr">
        <is>
          <t>Categories of medicines you stock</t>
        </is>
      </c>
      <c r="B32" s="38" t="n"/>
      <c r="C32" s="38" t="inlineStr">
        <is>
          <t>e.g. Diabetic Cardiac Antibiotic OTC</t>
        </is>
      </c>
    </row>
    <row r="33" ht="21.75" customHeight="1" s="31">
      <c r="A33" s="37" t="inlineStr">
        <is>
          <t>Do you stock cold chain medicines</t>
        </is>
      </c>
      <c r="B33" s="37" t="n"/>
      <c r="C33" s="37" t="inlineStr">
        <is>
          <t>YES or NO</t>
        </is>
      </c>
    </row>
    <row r="34" ht="21.75" customHeight="1" s="31">
      <c r="A34" s="38" t="inlineStr">
        <is>
          <t>Cold storage capacity if YES</t>
        </is>
      </c>
      <c r="B34" s="38" t="n"/>
      <c r="C34" s="38" t="inlineStr">
        <is>
          <t>e.g. 2-8 deg C refrigerator 50 litres</t>
        </is>
      </c>
    </row>
    <row r="35" ht="21.75" customHeight="1" s="31">
      <c r="A35" s="37" t="inlineStr">
        <is>
          <t>Approx monthly sales turnover Rs</t>
        </is>
      </c>
      <c r="B35" s="37" t="n"/>
      <c r="C35" s="37" t="inlineStr">
        <is>
          <t>e.g. Rs.5 00 000 per month</t>
        </is>
      </c>
    </row>
    <row r="36" ht="21.75" customHeight="1" s="31">
      <c r="A36" s="38" t="inlineStr">
        <is>
          <t>No of products to list initially</t>
        </is>
      </c>
      <c r="B36" s="38" t="n"/>
      <c r="C36" s="38" t="inlineStr">
        <is>
          <t>Approximate no of SKUs</t>
        </is>
      </c>
    </row>
    <row r="37" ht="24" customHeight="1" s="31">
      <c r="A37" s="34" t="inlineStr">
        <is>
          <t>--- E — BANK DETAILS FOR SETTLEMENT ---</t>
        </is>
      </c>
      <c r="B37" s="34" t="n"/>
      <c r="C37" s="34" t="n"/>
    </row>
    <row r="38" ht="21.75" customHeight="1" s="31">
      <c r="A38" s="36" t="inlineStr">
        <is>
          <t>* Bank Name</t>
        </is>
      </c>
      <c r="B38" s="36" t="n"/>
      <c r="C38" s="36" t="inlineStr">
        <is>
          <t>e.g. HDFC Bank</t>
        </is>
      </c>
    </row>
    <row r="39" ht="21.75" customHeight="1" s="31">
      <c r="A39" s="52" t="inlineStr">
        <is>
          <t>* Account Holder Name</t>
        </is>
      </c>
      <c r="B39" s="52" t="n"/>
      <c r="C39" s="52" t="inlineStr">
        <is>
          <t>Exactly as registered with bank</t>
        </is>
      </c>
    </row>
    <row r="40" ht="21.75" customHeight="1" s="31">
      <c r="A40" s="36" t="inlineStr">
        <is>
          <t>* Bank Account Number</t>
        </is>
      </c>
      <c r="B40" s="36" t="n"/>
      <c r="C40" s="36" t="inlineStr">
        <is>
          <t>10-18 digit</t>
        </is>
      </c>
    </row>
    <row r="41" ht="21.75" customHeight="1" s="31">
      <c r="A41" s="52" t="inlineStr">
        <is>
          <t>* IFSC Code</t>
        </is>
      </c>
      <c r="B41" s="52" t="n"/>
      <c r="C41" s="52" t="inlineStr">
        <is>
          <t>11-character e.g. HDFC0001234</t>
        </is>
      </c>
    </row>
    <row r="42" ht="21.75" customHeight="1" s="31">
      <c r="A42" s="38" t="inlineStr">
        <is>
          <t>Account Type</t>
        </is>
      </c>
      <c r="B42" s="38" t="n"/>
      <c r="C42" s="38" t="inlineStr">
        <is>
          <t>Current or Savings</t>
        </is>
      </c>
    </row>
    <row r="43" ht="24" customHeight="1" s="31">
      <c r="A43" s="34" t="inlineStr">
        <is>
          <t>--- F — COMMISSION AGREEMENT ---</t>
        </is>
      </c>
      <c r="B43" s="34" t="n"/>
      <c r="C43" s="34" t="n"/>
    </row>
    <row r="44" ht="21.75" customHeight="1" s="31">
      <c r="A44" s="36" t="inlineStr">
        <is>
          <t>* Commission rate agreed percent</t>
        </is>
      </c>
      <c r="B44" s="36" t="n"/>
      <c r="C44" s="36" t="inlineStr">
        <is>
          <t>e.g. 8 means Dawabag keeps 8 percent</t>
        </is>
      </c>
    </row>
    <row r="45" ht="21.75" customHeight="1" s="31">
      <c r="A45" s="52" t="inlineStr">
        <is>
          <t>* Customer Finding Fee Rs per order</t>
        </is>
      </c>
      <c r="B45" s="52" t="n"/>
      <c r="C45" s="52" t="inlineStr">
        <is>
          <t>e.g. Rs.15 flat per fulfilled order</t>
        </is>
      </c>
    </row>
    <row r="46" ht="21.75" customHeight="1" s="31">
      <c r="A46" s="36" t="inlineStr">
        <is>
          <t>* Settlement cycle agreed</t>
        </is>
      </c>
      <c r="B46" s="36" t="n"/>
      <c r="C46" s="36" t="inlineStr">
        <is>
          <t>e.g. T+7 days after delivery confirmed</t>
        </is>
      </c>
    </row>
    <row r="47" ht="21.75" customHeight="1" s="31">
      <c r="A47" s="52" t="inlineStr">
        <is>
          <t>* Agreement date</t>
        </is>
      </c>
      <c r="B47" s="52" t="n"/>
      <c r="C47" s="52" t="inlineStr">
        <is>
          <t>DD/MM/YYYY</t>
        </is>
      </c>
    </row>
    <row r="48" ht="21.75" customHeight="1" s="31">
      <c r="A48" s="36" t="inlineStr">
        <is>
          <t>* I confirm all details are accurate</t>
        </is>
      </c>
      <c r="B48" s="36" t="n"/>
      <c r="C48" s="36" t="inlineStr">
        <is>
          <t>Write YES I CONFIRM - Your Name - Date</t>
        </is>
      </c>
    </row>
  </sheetData>
  <mergeCells count="4">
    <mergeCell ref="A1:C1"/>
    <mergeCell ref="A4:C4"/>
    <mergeCell ref="A3:C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0" min="1" max="2"/>
    <col width="20" customWidth="1" style="30" min="3" max="4"/>
    <col width="18" customWidth="1" style="30" min="5" max="6"/>
    <col width="24" customWidth="1" style="30" min="7" max="7"/>
    <col width="26" customWidth="1" style="30" min="8" max="8"/>
    <col width="18" customWidth="1" style="30" min="9" max="9"/>
    <col width="14" customWidth="1" style="30" min="10" max="10"/>
    <col width="18" customWidth="1" style="30" min="11" max="11"/>
    <col width="28" customWidth="1" style="30" min="12" max="13"/>
    <col width="20" customWidth="1" style="30" min="14" max="14"/>
    <col width="24" customWidth="1" style="30" min="15" max="15"/>
    <col width="22" customWidth="1" style="30" min="16" max="16"/>
    <col width="16" customWidth="1" style="30" min="17" max="18"/>
    <col width="20" customWidth="1" style="30" min="19" max="19"/>
    <col width="28" customWidth="1" style="30" min="20" max="20"/>
  </cols>
  <sheetData>
    <row r="1" ht="43.5" customHeight="1" s="31">
      <c r="A1" s="32" t="inlineStr">
        <is>
          <t xml:space="preserve">  DAWABAG — PARTNER PRODUCT SUBMISSION LIST</t>
        </is>
      </c>
    </row>
    <row r="2" ht="21.75" customHeight="1" s="31">
      <c r="A2" s="47" t="inlineStr">
        <is>
          <t xml:space="preserve">  List every medicine you want posted on Dawabag portal. ONE ROW PER SKU. Team reviews and approves or rejects each product individually.</t>
        </is>
      </c>
    </row>
    <row r="3" ht="19.5" customHeight="1" s="31">
      <c r="A3" s="48" t="inlineStr">
        <is>
          <t xml:space="preserve">  * = Mandatory  |  One row per SKU  |  DO NOT change headings  |  Expiry min 6 months from today  |  Supply price at or below PTR</t>
        </is>
      </c>
    </row>
    <row r="4" ht="13.5" customHeight="1" s="31">
      <c r="A4" s="49" t="inlineStr">
        <is>
          <t xml:space="preserve">  Submitted by: _______________   Date: 29 Mar 2026</t>
        </is>
      </c>
    </row>
    <row r="5" ht="33.75" customHeight="1" s="31">
      <c r="A5" s="50" t="inlineStr">
        <is>
          <t>* Medicine Name Brand</t>
        </is>
      </c>
      <c r="B5" s="50" t="inlineStr">
        <is>
          <t>* Generic Chemical Name</t>
        </is>
      </c>
      <c r="C5" s="50" t="inlineStr">
        <is>
          <t>* SKU Code</t>
        </is>
      </c>
      <c r="D5" s="50" t="inlineStr">
        <is>
          <t>* Category</t>
        </is>
      </c>
      <c r="E5" s="50" t="inlineStr">
        <is>
          <t>* Drug Schedule</t>
        </is>
      </c>
      <c r="F5" s="50" t="inlineStr">
        <is>
          <t>* Drug Form</t>
        </is>
      </c>
      <c r="G5" s="50" t="inlineStr">
        <is>
          <t>* Strength Pack Description</t>
        </is>
      </c>
      <c r="H5" s="50" t="inlineStr">
        <is>
          <t>* Marketed By Manufacturer</t>
        </is>
      </c>
      <c r="I5" s="50" t="inlineStr">
        <is>
          <t>* HSN Code 8-digit</t>
        </is>
      </c>
      <c r="J5" s="50" t="inlineStr">
        <is>
          <t>* GST Rate percent</t>
        </is>
      </c>
      <c r="K5" s="50" t="inlineStr">
        <is>
          <t>* MRP per unit Rs</t>
        </is>
      </c>
      <c r="L5" s="50" t="inlineStr">
        <is>
          <t>* Supply Price to Dawabag Rs</t>
        </is>
      </c>
      <c r="M5" s="51" t="inlineStr">
        <is>
          <t>Suggested Selling Price Rs</t>
        </is>
      </c>
      <c r="N5" s="50" t="inlineStr">
        <is>
          <t>* Cold Chain Required</t>
        </is>
      </c>
      <c r="O5" s="50" t="inlineStr">
        <is>
          <t>* Storage Condition</t>
        </is>
      </c>
      <c r="P5" s="50" t="inlineStr">
        <is>
          <t>* Unit Weight grams</t>
        </is>
      </c>
      <c r="Q5" s="51" t="inlineStr">
        <is>
          <t>Min Order Qty</t>
        </is>
      </c>
      <c r="R5" s="51" t="inlineStr">
        <is>
          <t>Max Order Qty</t>
        </is>
      </c>
      <c r="S5" s="51" t="inlineStr">
        <is>
          <t>Prescription Required</t>
        </is>
      </c>
      <c r="T5" s="51" t="inlineStr">
        <is>
          <t>Remarks</t>
        </is>
      </c>
    </row>
    <row r="6" ht="18" customHeight="1" s="31">
      <c r="A6" s="53" t="inlineStr">
        <is>
          <t>Brand name</t>
        </is>
      </c>
      <c r="B6" s="53" t="inlineStr">
        <is>
          <t>Generic name</t>
        </is>
      </c>
      <c r="C6" s="53" t="inlineStr">
        <is>
          <t>Your internal code</t>
        </is>
      </c>
      <c r="D6" s="53" t="inlineStr">
        <is>
          <t>e.g. Diabetic Cardiac</t>
        </is>
      </c>
      <c r="E6" s="53" t="inlineStr">
        <is>
          <t>OTC or Schedule H or H1</t>
        </is>
      </c>
      <c r="F6" s="53" t="inlineStr">
        <is>
          <t>Tablet Capsule Injection Syrup</t>
        </is>
      </c>
      <c r="G6" s="53" t="inlineStr">
        <is>
          <t>e.g. 500mg Strip of 15</t>
        </is>
      </c>
      <c r="H6" s="53" t="inlineStr">
        <is>
          <t>Manufacturer as on carton</t>
        </is>
      </c>
      <c r="I6" s="53" t="inlineStr">
        <is>
          <t>8-digit HSN from carton</t>
        </is>
      </c>
      <c r="J6" s="53" t="inlineStr">
        <is>
          <t>0 or 5 or 12 or 18</t>
        </is>
      </c>
      <c r="K6" s="53" t="inlineStr">
        <is>
          <t>MRP on pack</t>
        </is>
      </c>
      <c r="L6" s="53" t="inlineStr">
        <is>
          <t>Price you charge Dawabag at or below PTR</t>
        </is>
      </c>
      <c r="M6" s="53" t="inlineStr">
        <is>
          <t>Leave blank Dawabag sets it</t>
        </is>
      </c>
      <c r="N6" s="53" t="inlineStr">
        <is>
          <t>YES or NO</t>
        </is>
      </c>
      <c r="O6" s="53" t="inlineStr">
        <is>
          <t>Room Temp or Refrigerated etc</t>
        </is>
      </c>
      <c r="P6" s="53" t="inlineStr">
        <is>
          <t>Weigh one strip or pack</t>
        </is>
      </c>
      <c r="Q6" s="53" t="inlineStr">
        <is>
          <t>e.g. 1</t>
        </is>
      </c>
      <c r="R6" s="53" t="inlineStr">
        <is>
          <t>e.g. 5 max</t>
        </is>
      </c>
      <c r="S6" s="53" t="inlineStr">
        <is>
          <t>YES or NO</t>
        </is>
      </c>
      <c r="T6" s="53" t="inlineStr">
        <is>
          <t>Notes</t>
        </is>
      </c>
    </row>
    <row r="7" ht="21.75" customHeight="1" s="31">
      <c r="A7" s="54" t="inlineStr">
        <is>
          <t>Metformin 500mg SR Tablet</t>
        </is>
      </c>
      <c r="B7" s="54" t="inlineStr">
        <is>
          <t>Metformin Hydrochloride</t>
        </is>
      </c>
      <c r="C7" s="54" t="inlineStr">
        <is>
          <t>MET500SR</t>
        </is>
      </c>
      <c r="D7" s="54" t="inlineStr">
        <is>
          <t>Diabetic</t>
        </is>
      </c>
      <c r="E7" s="54" t="inlineStr">
        <is>
          <t>Schedule H</t>
        </is>
      </c>
      <c r="F7" s="54" t="inlineStr">
        <is>
          <t>Tablet</t>
        </is>
      </c>
      <c r="G7" s="54" t="inlineStr">
        <is>
          <t>500mg Strip of 15 tabs</t>
        </is>
      </c>
      <c r="H7" s="54" t="inlineStr">
        <is>
          <t>Sun Pharma</t>
        </is>
      </c>
      <c r="I7" s="54" t="inlineStr">
        <is>
          <t>30049099</t>
        </is>
      </c>
      <c r="J7" s="54" t="n">
        <v>12</v>
      </c>
      <c r="K7" s="54" t="n">
        <v>50</v>
      </c>
      <c r="L7" s="54" t="n">
        <v>40</v>
      </c>
      <c r="M7" s="54" t="n"/>
      <c r="N7" s="54" t="inlineStr">
        <is>
          <t>NO</t>
        </is>
      </c>
      <c r="O7" s="54" t="inlineStr">
        <is>
          <t>Room Temperature 15-30 C</t>
        </is>
      </c>
      <c r="P7" s="54" t="n">
        <v>35</v>
      </c>
      <c r="Q7" s="54" t="n">
        <v>1</v>
      </c>
      <c r="R7" s="54" t="n">
        <v>5</v>
      </c>
      <c r="S7" s="54" t="inlineStr">
        <is>
          <t>YES</t>
        </is>
      </c>
      <c r="T7" s="54" t="n"/>
    </row>
    <row r="8" ht="21.75" customHeight="1" s="31">
      <c r="A8" s="55" t="inlineStr">
        <is>
          <t>Insulin Glargine 100IU/mL</t>
        </is>
      </c>
      <c r="B8" s="55" t="inlineStr">
        <is>
          <t>Insulin Glargine</t>
        </is>
      </c>
      <c r="C8" s="55" t="inlineStr">
        <is>
          <t>INSGL3ML</t>
        </is>
      </c>
      <c r="D8" s="55" t="inlineStr">
        <is>
          <t>Diabetic</t>
        </is>
      </c>
      <c r="E8" s="55" t="inlineStr">
        <is>
          <t>Schedule H</t>
        </is>
      </c>
      <c r="F8" s="55" t="inlineStr">
        <is>
          <t>Injection</t>
        </is>
      </c>
      <c r="G8" s="55" t="inlineStr">
        <is>
          <t>100IU per mL 3mL Vial</t>
        </is>
      </c>
      <c r="H8" s="55" t="inlineStr">
        <is>
          <t>Sanofi India</t>
        </is>
      </c>
      <c r="I8" s="55" t="inlineStr">
        <is>
          <t>30049099</t>
        </is>
      </c>
      <c r="J8" s="55" t="n">
        <v>12</v>
      </c>
      <c r="K8" s="55" t="n">
        <v>720</v>
      </c>
      <c r="L8" s="55" t="n">
        <v>650</v>
      </c>
      <c r="M8" s="55" t="n"/>
      <c r="N8" s="55" t="inlineStr">
        <is>
          <t>YES</t>
        </is>
      </c>
      <c r="O8" s="55" t="inlineStr">
        <is>
          <t>Refrigerated 2-8 C</t>
        </is>
      </c>
      <c r="P8" s="55" t="n">
        <v>32</v>
      </c>
      <c r="Q8" s="55" t="n">
        <v>1</v>
      </c>
      <c r="R8" s="55" t="n">
        <v>2</v>
      </c>
      <c r="S8" s="55" t="inlineStr">
        <is>
          <t>YES</t>
        </is>
      </c>
      <c r="T8" s="55" t="inlineStr">
        <is>
          <t>Cold chain maintain 2-8 deg</t>
        </is>
      </c>
    </row>
    <row r="9" ht="21.75" customHeight="1" s="31">
      <c r="A9" s="54" t="inlineStr">
        <is>
          <t>Vitamin D3 60000 IU</t>
        </is>
      </c>
      <c r="B9" s="54" t="inlineStr">
        <is>
          <t>Cholecalciferol</t>
        </is>
      </c>
      <c r="C9" s="54" t="inlineStr">
        <is>
          <t>VITD60K</t>
        </is>
      </c>
      <c r="D9" s="54" t="inlineStr">
        <is>
          <t>Vitamins</t>
        </is>
      </c>
      <c r="E9" s="54" t="inlineStr">
        <is>
          <t>OTC</t>
        </is>
      </c>
      <c r="F9" s="54" t="inlineStr">
        <is>
          <t>Capsule</t>
        </is>
      </c>
      <c r="G9" s="54" t="inlineStr">
        <is>
          <t>60000 IU Pack of 4</t>
        </is>
      </c>
      <c r="H9" s="54" t="inlineStr">
        <is>
          <t>Abbott India</t>
        </is>
      </c>
      <c r="I9" s="54" t="inlineStr">
        <is>
          <t>29362990</t>
        </is>
      </c>
      <c r="J9" s="54" t="n">
        <v>5</v>
      </c>
      <c r="K9" s="54" t="n">
        <v>110</v>
      </c>
      <c r="L9" s="54" t="n">
        <v>90</v>
      </c>
      <c r="M9" s="54" t="n"/>
      <c r="N9" s="54" t="inlineStr">
        <is>
          <t>NO</t>
        </is>
      </c>
      <c r="O9" s="54" t="inlineStr">
        <is>
          <t>Cool and Dry below 25 C</t>
        </is>
      </c>
      <c r="P9" s="54" t="n">
        <v>20</v>
      </c>
      <c r="Q9" s="54" t="n">
        <v>1</v>
      </c>
      <c r="R9" s="54" t="n">
        <v>10</v>
      </c>
      <c r="S9" s="54" t="inlineStr">
        <is>
          <t>NO</t>
        </is>
      </c>
      <c r="T9" s="54" t="n"/>
    </row>
    <row r="10" ht="21.75" customHeight="1" s="31">
      <c r="A10" s="55" t="inlineStr">
        <is>
          <t>Atorvastatin 10mg Tablet</t>
        </is>
      </c>
      <c r="B10" s="55" t="inlineStr">
        <is>
          <t>Atorvastatin Calcium</t>
        </is>
      </c>
      <c r="C10" s="55" t="inlineStr">
        <is>
          <t>ATO10TAB</t>
        </is>
      </c>
      <c r="D10" s="55" t="inlineStr">
        <is>
          <t>Cardiac</t>
        </is>
      </c>
      <c r="E10" s="55" t="inlineStr">
        <is>
          <t>Schedule H</t>
        </is>
      </c>
      <c r="F10" s="55" t="inlineStr">
        <is>
          <t>Tablet</t>
        </is>
      </c>
      <c r="G10" s="55" t="inlineStr">
        <is>
          <t>10mg Strip of 15 tabs</t>
        </is>
      </c>
      <c r="H10" s="55" t="inlineStr">
        <is>
          <t>Cipla</t>
        </is>
      </c>
      <c r="I10" s="55" t="inlineStr">
        <is>
          <t>30049099</t>
        </is>
      </c>
      <c r="J10" s="55" t="n">
        <v>12</v>
      </c>
      <c r="K10" s="55" t="n">
        <v>85</v>
      </c>
      <c r="L10" s="55" t="n">
        <v>68</v>
      </c>
      <c r="M10" s="55" t="n"/>
      <c r="N10" s="55" t="inlineStr">
        <is>
          <t>NO</t>
        </is>
      </c>
      <c r="O10" s="55" t="inlineStr">
        <is>
          <t>Room Temperature 15-30 C</t>
        </is>
      </c>
      <c r="P10" s="55" t="n">
        <v>30</v>
      </c>
      <c r="Q10" s="55" t="n">
        <v>1</v>
      </c>
      <c r="R10" s="55" t="n">
        <v>5</v>
      </c>
      <c r="S10" s="55" t="inlineStr">
        <is>
          <t>YES</t>
        </is>
      </c>
      <c r="T10" s="55" t="n"/>
    </row>
    <row r="11" ht="21.75" customHeight="1" s="31">
      <c r="A11" s="54" t="inlineStr">
        <is>
          <t>Paracetamol 500mg Tablet</t>
        </is>
      </c>
      <c r="B11" s="54" t="inlineStr">
        <is>
          <t>Paracetamol</t>
        </is>
      </c>
      <c r="C11" s="54" t="inlineStr">
        <is>
          <t>PARA500</t>
        </is>
      </c>
      <c r="D11" s="54" t="inlineStr">
        <is>
          <t>OTC General</t>
        </is>
      </c>
      <c r="E11" s="54" t="inlineStr">
        <is>
          <t>OTC</t>
        </is>
      </c>
      <c r="F11" s="54" t="inlineStr">
        <is>
          <t>Tablet</t>
        </is>
      </c>
      <c r="G11" s="54" t="inlineStr">
        <is>
          <t>500mg Strip of 10 tabs</t>
        </is>
      </c>
      <c r="H11" s="54" t="inlineStr">
        <is>
          <t>GSK</t>
        </is>
      </c>
      <c r="I11" s="54" t="inlineStr">
        <is>
          <t>30049099</t>
        </is>
      </c>
      <c r="J11" s="54" t="n">
        <v>12</v>
      </c>
      <c r="K11" s="54" t="n">
        <v>28</v>
      </c>
      <c r="L11" s="54" t="n">
        <v>22</v>
      </c>
      <c r="M11" s="54" t="n"/>
      <c r="N11" s="54" t="inlineStr">
        <is>
          <t>NO</t>
        </is>
      </c>
      <c r="O11" s="54" t="inlineStr">
        <is>
          <t>Room Temperature 15-30 C</t>
        </is>
      </c>
      <c r="P11" s="54" t="n">
        <v>28</v>
      </c>
      <c r="Q11" s="54" t="n">
        <v>1</v>
      </c>
      <c r="R11" s="54" t="n">
        <v>10</v>
      </c>
      <c r="S11" s="54" t="inlineStr">
        <is>
          <t>NO</t>
        </is>
      </c>
      <c r="T11" s="54" t="n"/>
    </row>
    <row r="12" ht="19.5" customHeight="1" s="31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</row>
    <row r="13" ht="19.5" customHeight="1" s="31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</row>
    <row r="14" ht="19.5" customHeight="1" s="31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</row>
    <row r="15" ht="19.5" customHeight="1" s="31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</row>
    <row r="16" ht="19.5" customHeight="1" s="31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</row>
    <row r="17" ht="19.5" customHeight="1" s="31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</row>
    <row r="18" ht="19.5" customHeight="1" s="31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</row>
    <row r="19" ht="19.5" customHeight="1" s="3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</row>
    <row r="20" ht="19.5" customHeight="1" s="31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</row>
    <row r="21" ht="19.5" customHeight="1" s="3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</row>
    <row r="22" ht="19.5" customHeight="1" s="31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9.5" customHeight="1" s="31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</row>
    <row r="24" ht="19.5" customHeight="1" s="31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</row>
    <row r="25" ht="19.5" customHeight="1" s="31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</row>
    <row r="26" ht="19.5" customHeight="1" s="31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</row>
    <row r="27" ht="19.5" customHeight="1" s="31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</row>
    <row r="28" ht="19.5" customHeight="1" s="31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</row>
    <row r="29" ht="19.5" customHeight="1" s="31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</row>
    <row r="30" ht="19.5" customHeight="1" s="31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</row>
    <row r="31" ht="19.5" customHeight="1" s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</row>
    <row r="32" ht="19.5" customHeight="1" s="31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</row>
    <row r="33" ht="19.5" customHeight="1" s="31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</row>
    <row r="34" ht="19.5" customHeight="1" s="31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</row>
    <row r="35" ht="19.5" customHeight="1" s="31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</row>
    <row r="36" ht="19.5" customHeight="1" s="31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</row>
    <row r="37" ht="19.5" customHeight="1" s="31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</row>
    <row r="38" ht="19.5" customHeight="1" s="31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</row>
    <row r="39" ht="19.5" customHeight="1" s="31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</row>
    <row r="40" ht="19.5" customHeight="1" s="31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</row>
    <row r="41" ht="19.5" customHeight="1" s="3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</row>
    <row r="42" ht="19.5" customHeight="1" s="31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</row>
    <row r="43" ht="19.5" customHeight="1" s="31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</row>
    <row r="44" ht="19.5" customHeight="1" s="31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</row>
    <row r="45" ht="19.5" customHeight="1" s="31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</row>
    <row r="46" ht="19.5" customHeight="1" s="31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</row>
    <row r="47" ht="19.5" customHeight="1" s="31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</row>
    <row r="48" ht="19.5" customHeight="1" s="31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</row>
    <row r="49" ht="19.5" customHeight="1" s="3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</row>
    <row r="50" ht="19.5" customHeight="1" s="31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  <c r="R50" s="54" t="n"/>
      <c r="S50" s="54" t="n"/>
      <c r="T50" s="54" t="n"/>
    </row>
    <row r="51" ht="19.5" customHeight="1" s="3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</row>
    <row r="52" ht="19.5" customHeight="1" s="31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</row>
    <row r="53" ht="19.5" customHeight="1" s="31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</row>
    <row r="54" ht="19.5" customHeight="1" s="31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9.5" customHeight="1" s="31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</row>
    <row r="56" ht="19.5" customHeight="1" s="31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</row>
  </sheetData>
  <mergeCells count="4">
    <mergeCell ref="A1:T1"/>
    <mergeCell ref="A4:T4"/>
    <mergeCell ref="A3:T3"/>
    <mergeCell ref="A2:T2"/>
  </mergeCells>
  <dataValidations count="6">
    <dataValidation sqref="E7:E60" showDropDown="0" showInputMessage="0" showErrorMessage="0" allowBlank="0" type="list" errorStyle="stop" operator="between">
      <formula1>"OTC,Schedule G,Schedule H,Schedule H1,Schedule X"</formula1>
      <formula2>0</formula2>
    </dataValidation>
    <dataValidation sqref="F7:F60" showDropDown="0" showInputMessage="0" showErrorMessage="0" allowBlank="0" type="list" errorStyle="stop" operator="between">
      <formula1>"Tablet,Capsule,Syrup,Injection,Cream,Ointment,Drops,Inhaler,Powder,Gel,Spray"</formula1>
      <formula2>0</formula2>
    </dataValidation>
    <dataValidation sqref="J7:J60" showDropDown="0" showInputMessage="0" showErrorMessage="0" allowBlank="0" type="list" errorStyle="stop" operator="between">
      <formula1>"0,5,12,18"</formula1>
      <formula2>0</formula2>
    </dataValidation>
    <dataValidation sqref="N7:N60" showDropDown="0" showInputMessage="0" showErrorMessage="0" allowBlank="0" type="list" errorStyle="stop" operator="between">
      <formula1>"YES,NO"</formula1>
      <formula2>0</formula2>
    </dataValidation>
    <dataValidation sqref="O7:O60" showDropDown="0" showInputMessage="0" showErrorMessage="0" allowBlank="0" type="list" errorStyle="stop" operator="between">
      <formula1>"Room Temperature 15-30 C,Cool and Dry below 25 C,Refrigerated 2-8 C,Frozen below -15 C,Controlled Room Temp 20-25 C"</formula1>
      <formula2>0</formula2>
    </dataValidation>
    <dataValidation sqref="S7:S60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0" min="1" max="1"/>
    <col width="30" customWidth="1" style="30" min="2" max="2"/>
    <col width="22" customWidth="1" style="30" min="3" max="5"/>
    <col width="20" customWidth="1" style="30" min="6" max="6"/>
    <col width="26" customWidth="1" style="30" min="7" max="8"/>
    <col width="20" customWidth="1" style="30" min="9" max="9"/>
    <col width="22" customWidth="1" style="30" min="10" max="10"/>
    <col width="20" customWidth="1" style="30" min="11" max="12"/>
    <col width="24" customWidth="1" style="30" min="13" max="13"/>
    <col width="24" customWidth="1" style="31" min="14" max="14"/>
    <col width="24" customWidth="1" style="31" min="15" max="15"/>
  </cols>
  <sheetData>
    <row r="1" ht="43.5" customHeight="1" s="31">
      <c r="A1" s="32" t="inlineStr">
        <is>
          <t xml:space="preserve">  DAWABAG — PARTNER OPENING STOCK — CURRENT INVENTORY</t>
        </is>
      </c>
    </row>
    <row r="2" ht="21.75" customHeight="1" s="31">
      <c r="A2" s="47" t="inlineStr">
        <is>
          <t xml:space="preserve">  Current stock for each product submitted. ONE ROW PER BATCH. SKU must exactly match Sheet 3.</t>
        </is>
      </c>
    </row>
    <row r="3" ht="19.5" customHeight="1" s="31">
      <c r="A3" s="48" t="inlineStr">
        <is>
          <t xml:space="preserve">  * = Mandatory  |  One row per BATCH  |  Expiry must be min 6 months from today  |  SKU must match Sheet 3 exactly  |  supplier_* columns optional (Sprint 39): kept once per batch, shown to Dawabag</t>
        </is>
      </c>
    </row>
    <row r="4" ht="13.5" customHeight="1" s="31">
      <c r="A4" s="49" t="inlineStr">
        <is>
          <t xml:space="preserve">  Submitted by: _______________   Date: 29 Mar 2026</t>
        </is>
      </c>
    </row>
    <row r="5" ht="33.75" customHeight="1" s="31">
      <c r="A5" s="50" t="inlineStr">
        <is>
          <t>* SKU Code</t>
        </is>
      </c>
      <c r="B5" s="50" t="inlineStr">
        <is>
          <t>* Medicine Name</t>
        </is>
      </c>
      <c r="C5" s="50" t="inlineStr">
        <is>
          <t>* Batch Number</t>
        </is>
      </c>
      <c r="D5" s="50" t="inlineStr">
        <is>
          <t>* Qty Available</t>
        </is>
      </c>
      <c r="E5" s="50" t="inlineStr">
        <is>
          <t>* Expiry Date MM/YYYY</t>
        </is>
      </c>
      <c r="F5" s="51" t="inlineStr">
        <is>
          <t>Mfg Date MM/YYYY</t>
        </is>
      </c>
      <c r="G5" s="50" t="inlineStr">
        <is>
          <t>* Purchase Price per unit Rs</t>
        </is>
      </c>
      <c r="H5" s="51" t="inlineStr">
        <is>
          <t>supplier_name</t>
        </is>
      </c>
      <c r="I5" s="51" t="inlineStr">
        <is>
          <t>supplier_invoice_no</t>
        </is>
      </c>
      <c r="J5" s="51" t="inlineStr">
        <is>
          <t>Date Received DD/MM/YYYY</t>
        </is>
      </c>
      <c r="K5" s="51" t="inlineStr">
        <is>
          <t>Storage Location Rack</t>
        </is>
      </c>
      <c r="L5" s="51" t="inlineStr">
        <is>
          <t>Cold Chain Batch YES NO</t>
        </is>
      </c>
      <c r="M5" s="51" t="inlineStr">
        <is>
          <t>Remarks</t>
        </is>
      </c>
      <c r="N5" s="56" t="inlineStr">
        <is>
          <t>supplier_licence_no</t>
        </is>
      </c>
      <c r="O5" s="56" t="inlineStr">
        <is>
          <t>supplier_invoice_date</t>
        </is>
      </c>
    </row>
    <row r="6" ht="18" customHeight="1" s="31">
      <c r="A6" s="53" t="inlineStr">
        <is>
          <t>Exact match with Sheet 3 SKU</t>
        </is>
      </c>
      <c r="B6" s="53" t="inlineStr">
        <is>
          <t>Medicine name</t>
        </is>
      </c>
      <c r="C6" s="53" t="inlineStr">
        <is>
          <t>Batch no on carton</t>
        </is>
      </c>
      <c r="D6" s="53" t="inlineStr">
        <is>
          <t>Count actual units on shelf</t>
        </is>
      </c>
      <c r="E6" s="53" t="inlineStr">
        <is>
          <t>MM/YYYY e.g. 03/2027</t>
        </is>
      </c>
      <c r="F6" s="53" t="inlineStr">
        <is>
          <t>MM/YYYY e.g. 03/2024</t>
        </is>
      </c>
      <c r="G6" s="53" t="inlineStr">
        <is>
          <t>What you paid per unit</t>
        </is>
      </c>
      <c r="H6" s="53" t="inlineStr">
        <is>
          <t>Who you bought this batch from (optional)</t>
        </is>
      </c>
      <c r="I6" s="53" t="inlineStr">
        <is>
          <t>Your purchase invoice no (optional)</t>
        </is>
      </c>
      <c r="J6" s="53" t="inlineStr">
        <is>
          <t>DD/MM/YYYY received</t>
        </is>
      </c>
      <c r="K6" s="53" t="inlineStr">
        <is>
          <t>e.g. Rack A-3 or Cold Room 1</t>
        </is>
      </c>
      <c r="L6" s="53" t="inlineStr">
        <is>
          <t>YES for insulin vaccines</t>
        </is>
      </c>
      <c r="M6" s="53" t="inlineStr">
        <is>
          <t>Notes</t>
        </is>
      </c>
      <c r="N6" s="57" t="inlineStr">
        <is>
          <t>Supplier's drug licence no. (optional)</t>
        </is>
      </c>
      <c r="O6" s="57" t="inlineStr">
        <is>
          <t>Purchase invoice date DD/MM/YYYY (optional)</t>
        </is>
      </c>
    </row>
    <row r="7" ht="21.75" customHeight="1" s="31">
      <c r="A7" s="54" t="inlineStr">
        <is>
          <t>MET500SR</t>
        </is>
      </c>
      <c r="B7" s="54" t="inlineStr">
        <is>
          <t>Metformin 500mg SR Tablet</t>
        </is>
      </c>
      <c r="C7" s="54" t="inlineStr">
        <is>
          <t>BT2024-MET-001</t>
        </is>
      </c>
      <c r="D7" s="54" t="n">
        <v>500</v>
      </c>
      <c r="E7" s="54" t="inlineStr">
        <is>
          <t>03/2027</t>
        </is>
      </c>
      <c r="F7" s="54" t="inlineStr">
        <is>
          <t>09/2024</t>
        </is>
      </c>
      <c r="G7" s="54" t="n">
        <v>18.5</v>
      </c>
      <c r="H7" s="54" t="inlineStr">
        <is>
          <t>Sunrise Pharma</t>
        </is>
      </c>
      <c r="I7" s="54" t="inlineStr">
        <is>
          <t>INV-SP-2024-441</t>
        </is>
      </c>
      <c r="J7" s="54" t="inlineStr">
        <is>
          <t>15/01/2025</t>
        </is>
      </c>
      <c r="K7" s="54" t="inlineStr">
        <is>
          <t>Rack B-2</t>
        </is>
      </c>
      <c r="L7" s="54" t="inlineStr">
        <is>
          <t>NO</t>
        </is>
      </c>
      <c r="M7" s="54" t="n"/>
      <c r="N7" s="58" t="inlineStr">
        <is>
          <t>MH-NSK-000001 (example)</t>
        </is>
      </c>
      <c r="O7" s="58" t="inlineStr">
        <is>
          <t>15/01/2025</t>
        </is>
      </c>
    </row>
    <row r="8" ht="21.75" customHeight="1" s="31">
      <c r="A8" s="55" t="inlineStr">
        <is>
          <t>MET500SR</t>
        </is>
      </c>
      <c r="B8" s="55" t="inlineStr">
        <is>
          <t>Metformin 500mg SR Tablet</t>
        </is>
      </c>
      <c r="C8" s="55" t="inlineStr">
        <is>
          <t>BT2024-MET-002</t>
        </is>
      </c>
      <c r="D8" s="55" t="n">
        <v>300</v>
      </c>
      <c r="E8" s="55" t="inlineStr">
        <is>
          <t>07/2027</t>
        </is>
      </c>
      <c r="F8" s="55" t="inlineStr">
        <is>
          <t>01/2025</t>
        </is>
      </c>
      <c r="G8" s="55" t="n">
        <v>18.75</v>
      </c>
      <c r="H8" s="55" t="inlineStr">
        <is>
          <t>Sunrise Pharma</t>
        </is>
      </c>
      <c r="I8" s="55" t="inlineStr">
        <is>
          <t>INV-SP-2025-012</t>
        </is>
      </c>
      <c r="J8" s="55" t="inlineStr">
        <is>
          <t>20/01/2025</t>
        </is>
      </c>
      <c r="K8" s="55" t="inlineStr">
        <is>
          <t>Rack B-2</t>
        </is>
      </c>
      <c r="L8" s="55" t="inlineStr">
        <is>
          <t>NO</t>
        </is>
      </c>
      <c r="M8" s="55" t="inlineStr">
        <is>
          <t>Newer batch dispatch older batch first FEFO</t>
        </is>
      </c>
      <c r="N8" s="59" t="inlineStr">
        <is>
          <t>MH-NSK-000001 (example)</t>
        </is>
      </c>
      <c r="O8" s="59" t="inlineStr">
        <is>
          <t>20/01/2025</t>
        </is>
      </c>
    </row>
    <row r="9" ht="21.75" customHeight="1" s="31">
      <c r="A9" s="54" t="inlineStr">
        <is>
          <t>INSGL3ML</t>
        </is>
      </c>
      <c r="B9" s="54" t="inlineStr">
        <is>
          <t>Insulin Glargine 100IU/mL</t>
        </is>
      </c>
      <c r="C9" s="54" t="inlineStr">
        <is>
          <t>BT2024-INS-018</t>
        </is>
      </c>
      <c r="D9" s="54" t="n">
        <v>24</v>
      </c>
      <c r="E9" s="54" t="inlineStr">
        <is>
          <t>08/2026</t>
        </is>
      </c>
      <c r="F9" s="54" t="inlineStr">
        <is>
          <t>10/2024</t>
        </is>
      </c>
      <c r="G9" s="54" t="n">
        <v>320</v>
      </c>
      <c r="H9" s="54" t="inlineStr">
        <is>
          <t>Apollo Medicals</t>
        </is>
      </c>
      <c r="I9" s="54" t="inlineStr">
        <is>
          <t>INV-AP-2024-188</t>
        </is>
      </c>
      <c r="J9" s="54" t="inlineStr">
        <is>
          <t>20/01/2025</t>
        </is>
      </c>
      <c r="K9" s="54" t="inlineStr">
        <is>
          <t>Cold Room 1</t>
        </is>
      </c>
      <c r="L9" s="54" t="inlineStr">
        <is>
          <t>YES</t>
        </is>
      </c>
      <c r="M9" s="54" t="inlineStr">
        <is>
          <t>Cold chain maintain 2-8 deg C</t>
        </is>
      </c>
      <c r="N9" s="58" t="inlineStr">
        <is>
          <t>MH-NSK-000002 (example)</t>
        </is>
      </c>
      <c r="O9" s="58" t="inlineStr">
        <is>
          <t>20/01/2025</t>
        </is>
      </c>
    </row>
    <row r="10" ht="21.75" customHeight="1" s="31">
      <c r="A10" s="55" t="inlineStr">
        <is>
          <t>VITD60K</t>
        </is>
      </c>
      <c r="B10" s="55" t="inlineStr">
        <is>
          <t>Vitamin D3 60000 IU</t>
        </is>
      </c>
      <c r="C10" s="55" t="inlineStr">
        <is>
          <t>BT2024-VIT-009</t>
        </is>
      </c>
      <c r="D10" s="55" t="n">
        <v>360</v>
      </c>
      <c r="E10" s="55" t="inlineStr">
        <is>
          <t>12/2026</t>
        </is>
      </c>
      <c r="F10" s="55" t="inlineStr">
        <is>
          <t>08/2024</t>
        </is>
      </c>
      <c r="G10" s="55" t="n">
        <v>38</v>
      </c>
      <c r="H10" s="55" t="inlineStr">
        <is>
          <t>Sun Pharma Depot</t>
        </is>
      </c>
      <c r="I10" s="55" t="inlineStr">
        <is>
          <t>INV-SUN-2024-210</t>
        </is>
      </c>
      <c r="J10" s="55" t="inlineStr">
        <is>
          <t>05/01/2025</t>
        </is>
      </c>
      <c r="K10" s="55" t="inlineStr">
        <is>
          <t>Rack C-4</t>
        </is>
      </c>
      <c r="L10" s="55" t="inlineStr">
        <is>
          <t>NO</t>
        </is>
      </c>
      <c r="M10" s="55" t="n"/>
      <c r="N10" s="59" t="inlineStr">
        <is>
          <t>MH-NSK-000003 (example)</t>
        </is>
      </c>
      <c r="O10" s="59" t="inlineStr">
        <is>
          <t>05/01/2025</t>
        </is>
      </c>
    </row>
    <row r="11" ht="21.75" customHeight="1" s="31">
      <c r="A11" s="54" t="inlineStr">
        <is>
          <t>ATO10TAB</t>
        </is>
      </c>
      <c r="B11" s="54" t="inlineStr">
        <is>
          <t>Atorvastatin 10mg Tablet</t>
        </is>
      </c>
      <c r="C11" s="54" t="inlineStr">
        <is>
          <t>BT2025-ATO-001</t>
        </is>
      </c>
      <c r="D11" s="54" t="n">
        <v>450</v>
      </c>
      <c r="E11" s="54" t="inlineStr">
        <is>
          <t>05/2027</t>
        </is>
      </c>
      <c r="F11" s="54" t="inlineStr">
        <is>
          <t>11/2024</t>
        </is>
      </c>
      <c r="G11" s="54" t="n">
        <v>28</v>
      </c>
      <c r="H11" s="54" t="inlineStr">
        <is>
          <t>Cipla Depot</t>
        </is>
      </c>
      <c r="I11" s="54" t="inlineStr">
        <is>
          <t>INV-CIP-2025-001</t>
        </is>
      </c>
      <c r="J11" s="54" t="inlineStr">
        <is>
          <t>10/01/2025</t>
        </is>
      </c>
      <c r="K11" s="54" t="inlineStr">
        <is>
          <t>Rack A-1</t>
        </is>
      </c>
      <c r="L11" s="54" t="inlineStr">
        <is>
          <t>NO</t>
        </is>
      </c>
      <c r="M11" s="54" t="n"/>
      <c r="N11" s="58" t="inlineStr">
        <is>
          <t>MH-NSK-000004 (example)</t>
        </is>
      </c>
      <c r="O11" s="58" t="inlineStr">
        <is>
          <t>10/01/2025</t>
        </is>
      </c>
    </row>
    <row r="12" ht="21.75" customHeight="1" s="31">
      <c r="A12" s="55" t="inlineStr">
        <is>
          <t>PARA500</t>
        </is>
      </c>
      <c r="B12" s="55" t="inlineStr">
        <is>
          <t>Paracetamol 500mg Tablet</t>
        </is>
      </c>
      <c r="C12" s="55" t="inlineStr">
        <is>
          <t>BT2024-PAR-033</t>
        </is>
      </c>
      <c r="D12" s="55" t="n">
        <v>800</v>
      </c>
      <c r="E12" s="55" t="inlineStr">
        <is>
          <t>06/2027</t>
        </is>
      </c>
      <c r="F12" s="55" t="inlineStr">
        <is>
          <t>08/2024</t>
        </is>
      </c>
      <c r="G12" s="55" t="n">
        <v>8.5</v>
      </c>
      <c r="H12" s="55" t="inlineStr">
        <is>
          <t>GSK Depot</t>
        </is>
      </c>
      <c r="I12" s="55" t="inlineStr">
        <is>
          <t>INV-GSK-2024-320</t>
        </is>
      </c>
      <c r="J12" s="55" t="inlineStr">
        <is>
          <t>01/01/2025</t>
        </is>
      </c>
      <c r="K12" s="55" t="inlineStr">
        <is>
          <t>Rack D-1</t>
        </is>
      </c>
      <c r="L12" s="55" t="inlineStr">
        <is>
          <t>NO</t>
        </is>
      </c>
      <c r="M12" s="55" t="n"/>
      <c r="N12" s="59" t="inlineStr">
        <is>
          <t>MH-NSK-000005 (example)</t>
        </is>
      </c>
      <c r="O12" s="59" t="inlineStr">
        <is>
          <t>01/01/2025</t>
        </is>
      </c>
    </row>
    <row r="13" ht="19.5" customHeight="1" s="31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8" t="n"/>
      <c r="O13" s="58" t="n"/>
    </row>
    <row r="14" ht="19.5" customHeight="1" s="31">
      <c r="A14" s="55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9" t="n"/>
      <c r="O14" s="59" t="n"/>
    </row>
    <row r="15" ht="19.5" customHeight="1" s="31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8" t="n"/>
      <c r="O15" s="58" t="n"/>
    </row>
    <row r="16" ht="19.5" customHeight="1" s="31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9" t="n"/>
      <c r="O16" s="59" t="n"/>
    </row>
    <row r="17" ht="19.5" customHeight="1" s="31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8" t="n"/>
      <c r="O17" s="58" t="n"/>
    </row>
    <row r="18" ht="19.5" customHeight="1" s="31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9" t="n"/>
      <c r="O18" s="59" t="n"/>
    </row>
    <row r="19" ht="19.5" customHeight="1" s="31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8" t="n"/>
      <c r="O19" s="58" t="n"/>
    </row>
    <row r="20" ht="19.5" customHeight="1" s="31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9" t="n"/>
      <c r="O20" s="59" t="n"/>
    </row>
    <row r="21" ht="19.5" customHeight="1" s="3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8" t="n"/>
      <c r="O21" s="58" t="n"/>
    </row>
    <row r="22" ht="19.5" customHeight="1" s="31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9" t="n"/>
      <c r="O22" s="59" t="n"/>
    </row>
    <row r="23" ht="19.5" customHeight="1" s="31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8" t="n"/>
      <c r="O23" s="58" t="n"/>
    </row>
    <row r="24" ht="19.5" customHeight="1" s="31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9" t="n"/>
      <c r="O24" s="59" t="n"/>
    </row>
    <row r="25" ht="19.5" customHeight="1" s="31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8" t="n"/>
      <c r="O25" s="58" t="n"/>
    </row>
    <row r="26" ht="19.5" customHeight="1" s="31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9" t="n"/>
      <c r="O26" s="59" t="n"/>
    </row>
    <row r="27" ht="19.5" customHeight="1" s="31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8" t="n"/>
      <c r="O27" s="58" t="n"/>
    </row>
    <row r="28" ht="19.5" customHeight="1" s="31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9" t="n"/>
      <c r="O28" s="59" t="n"/>
    </row>
    <row r="29" ht="19.5" customHeight="1" s="31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8" t="n"/>
      <c r="O29" s="58" t="n"/>
    </row>
    <row r="30" ht="19.5" customHeight="1" s="31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9" t="n"/>
      <c r="O30" s="59" t="n"/>
    </row>
    <row r="31" ht="19.5" customHeight="1" s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8" t="n"/>
      <c r="O31" s="58" t="n"/>
    </row>
    <row r="32" ht="19.5" customHeight="1" s="31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9" t="n"/>
      <c r="O32" s="59" t="n"/>
    </row>
    <row r="33" ht="19.5" customHeight="1" s="31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8" t="n"/>
      <c r="O33" s="58" t="n"/>
    </row>
    <row r="34" ht="19.5" customHeight="1" s="31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9" t="n"/>
      <c r="O34" s="59" t="n"/>
    </row>
    <row r="35" ht="19.5" customHeight="1" s="31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8" t="n"/>
      <c r="O35" s="58" t="n"/>
    </row>
    <row r="36" ht="19.5" customHeight="1" s="31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9" t="n"/>
      <c r="O36" s="59" t="n"/>
    </row>
    <row r="37" ht="19.5" customHeight="1" s="31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8" t="n"/>
      <c r="O37" s="58" t="n"/>
    </row>
    <row r="38" ht="19.5" customHeight="1" s="31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9" t="n"/>
      <c r="O38" s="59" t="n"/>
    </row>
    <row r="39" ht="19.5" customHeight="1" s="31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8" t="n"/>
      <c r="O39" s="58" t="n"/>
    </row>
    <row r="40" ht="19.5" customHeight="1" s="31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9" t="n"/>
      <c r="O40" s="59" t="n"/>
    </row>
    <row r="41" ht="19.5" customHeight="1" s="3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8" t="n"/>
      <c r="O41" s="58" t="n"/>
    </row>
    <row r="42" ht="19.5" customHeight="1" s="31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9" t="n"/>
      <c r="O42" s="59" t="n"/>
    </row>
    <row r="43" ht="19.5" customHeight="1" s="31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8" t="n"/>
      <c r="O43" s="58" t="n"/>
    </row>
    <row r="44" ht="19.5" customHeight="1" s="31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9" t="n"/>
      <c r="O44" s="59" t="n"/>
    </row>
    <row r="45" ht="19.5" customHeight="1" s="31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8" t="n"/>
      <c r="O45" s="58" t="n"/>
    </row>
    <row r="46" ht="19.5" customHeight="1" s="31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9" t="n"/>
      <c r="O46" s="59" t="n"/>
    </row>
    <row r="47" ht="19.5" customHeight="1" s="31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8" t="n"/>
      <c r="O47" s="58" t="n"/>
    </row>
    <row r="48" ht="19.5" customHeight="1" s="3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9" t="n"/>
      <c r="O48" s="59" t="n"/>
    </row>
    <row r="49" ht="19.5" customHeight="1" s="31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8" t="n"/>
      <c r="O49" s="58" t="n"/>
    </row>
    <row r="50" ht="19.5" customHeight="1" s="3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9" t="n"/>
      <c r="O50" s="59" t="n"/>
    </row>
    <row r="51" ht="19.5" customHeight="1" s="31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8" t="n"/>
      <c r="O51" s="58" t="n"/>
    </row>
    <row r="52" ht="19.5" customHeight="1" s="3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9" t="n"/>
      <c r="O52" s="59" t="n"/>
    </row>
    <row r="53" ht="19.5" customHeight="1" s="31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8" t="n"/>
      <c r="O53" s="58" t="n"/>
    </row>
    <row r="54" ht="19.5" customHeight="1" s="3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9" t="n"/>
      <c r="O54" s="59" t="n"/>
    </row>
    <row r="55" ht="19.5" customHeight="1" s="31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8" t="n"/>
      <c r="O55" s="58" t="n"/>
    </row>
    <row r="56" ht="19.5" customHeight="1" s="31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9" t="n"/>
      <c r="O56" s="59" t="n"/>
    </row>
    <row r="57"/>
    <row r="58" ht="15" customHeight="1" s="31">
      <c r="A58" s="60" t="inlineStr">
        <is>
          <t>TOTAL SUBMITTED STOCK VALUE Rs</t>
        </is>
      </c>
      <c r="B58" s="61" t="n"/>
      <c r="C58" s="61" t="n"/>
      <c r="D58" s="62">
        <f>IFERROR(SUMPRODUCT(D7:D57,G7:G57),0)</f>
        <v/>
      </c>
    </row>
  </sheetData>
  <mergeCells count="5">
    <mergeCell ref="A2:O2"/>
    <mergeCell ref="A58:C58"/>
    <mergeCell ref="A1:O1"/>
    <mergeCell ref="A4:O4"/>
    <mergeCell ref="A3:O3"/>
  </mergeCells>
  <dataValidations count="1">
    <dataValidation sqref="L7:L60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0" min="1" max="1"/>
    <col width="30" customWidth="1" style="30" min="2" max="2"/>
    <col width="18" customWidth="1" style="30" min="3" max="3"/>
    <col width="28" customWidth="1" style="30" min="4" max="5"/>
    <col width="22" customWidth="1" style="30" min="6" max="6"/>
    <col width="26" customWidth="1" style="30" min="7" max="7"/>
    <col width="24" customWidth="1" style="30" min="8" max="8"/>
    <col width="30" customWidth="1" style="30" min="9" max="9"/>
    <col width="32" customWidth="1" style="30" min="10" max="10"/>
  </cols>
  <sheetData>
    <row r="1" ht="43.5" customHeight="1" s="31">
      <c r="A1" s="32" t="inlineStr">
        <is>
          <t xml:space="preserve">  DAWABAG — PARTNER PRICING AND MARGIN SHEET</t>
        </is>
      </c>
    </row>
    <row r="2" ht="21.75" customHeight="1" s="31">
      <c r="A2" s="47" t="inlineStr">
        <is>
          <t xml:space="preserve">  Declare supply price to Dawabag for each product. Dawabag sets the final portal selling price. Supply price must be at or below PTR.</t>
        </is>
      </c>
    </row>
    <row r="3" ht="19.5" customHeight="1" s="31">
      <c r="A3" s="48" t="inlineStr">
        <is>
          <t xml:space="preserve">  * = Mandatory  |  Supply price = what you bill Dawabag on your B2B invoice  |  Must be at or below PTR typically 10-20 percent below MRP</t>
        </is>
      </c>
    </row>
    <row r="4" ht="13.5" customHeight="1" s="31">
      <c r="A4" s="49" t="inlineStr">
        <is>
          <t xml:space="preserve">  Submitted by: _______________   Date: 29 Mar 2026</t>
        </is>
      </c>
    </row>
    <row r="5" ht="33.75" customHeight="1" s="31">
      <c r="A5" s="50" t="inlineStr">
        <is>
          <t>* SKU Code</t>
        </is>
      </c>
      <c r="B5" s="50" t="inlineStr">
        <is>
          <t>* Medicine Name</t>
        </is>
      </c>
      <c r="C5" s="50" t="inlineStr">
        <is>
          <t>* MRP per unit Rs</t>
        </is>
      </c>
      <c r="D5" s="50" t="inlineStr">
        <is>
          <t>* Supply Price to Dawabag Rs</t>
        </is>
      </c>
      <c r="E5" s="51" t="inlineStr">
        <is>
          <t>Suggested Selling Price Rs</t>
        </is>
      </c>
      <c r="F5" s="51" t="inlineStr">
        <is>
          <t>Discount off MRP percent</t>
        </is>
      </c>
      <c r="G5" s="51" t="inlineStr">
        <is>
          <t>Can Dawabag offer further discount</t>
        </is>
      </c>
      <c r="H5" s="51" t="inlineStr">
        <is>
          <t>Min acceptable selling price Rs</t>
        </is>
      </c>
      <c r="I5" s="51" t="inlineStr">
        <is>
          <t>Bulk price break details</t>
        </is>
      </c>
      <c r="J5" s="51" t="inlineStr">
        <is>
          <t>Notes</t>
        </is>
      </c>
    </row>
    <row r="6" ht="18" customHeight="1" s="31">
      <c r="A6" s="53" t="inlineStr">
        <is>
          <t>Match Sheet 3 SKU</t>
        </is>
      </c>
      <c r="B6" s="53" t="inlineStr">
        <is>
          <t>Medicine name</t>
        </is>
      </c>
      <c r="C6" s="53" t="inlineStr">
        <is>
          <t>MRP on pack</t>
        </is>
      </c>
      <c r="D6" s="53" t="inlineStr">
        <is>
          <t>Price you bill Dawabag at or below PTR</t>
        </is>
      </c>
      <c r="E6" s="53" t="inlineStr">
        <is>
          <t>Leave blank Dawabag decides</t>
        </is>
      </c>
      <c r="F6" s="53" t="inlineStr">
        <is>
          <t>Auto = MRP minus Supply divided by MRP x 100</t>
        </is>
      </c>
      <c r="G6" s="53" t="inlineStr">
        <is>
          <t>YES or NO</t>
        </is>
      </c>
      <c r="H6" s="53" t="inlineStr">
        <is>
          <t>Min price you will accept</t>
        </is>
      </c>
      <c r="I6" s="53" t="inlineStr">
        <is>
          <t>e.g. Rs.36 per strip if qty above 100</t>
        </is>
      </c>
      <c r="J6" s="53" t="inlineStr">
        <is>
          <t>Notes</t>
        </is>
      </c>
    </row>
    <row r="7" ht="21.75" customHeight="1" s="31">
      <c r="A7" s="54" t="inlineStr">
        <is>
          <t>MET500SR</t>
        </is>
      </c>
      <c r="B7" s="54" t="inlineStr">
        <is>
          <t>Metformin 500mg SR Tablet</t>
        </is>
      </c>
      <c r="C7" s="54" t="n">
        <v>50</v>
      </c>
      <c r="D7" s="54" t="n">
        <v>40</v>
      </c>
      <c r="E7" s="54" t="n"/>
      <c r="F7" s="63">
        <f>IFERROR((C7-D7)/C7*100,0)</f>
        <v/>
      </c>
      <c r="G7" s="54" t="inlineStr">
        <is>
          <t>YES</t>
        </is>
      </c>
      <c r="H7" s="54" t="n">
        <v>35</v>
      </c>
      <c r="I7" s="54" t="inlineStr">
        <is>
          <t>Rs.38 per strip if 100+ strips</t>
        </is>
      </c>
      <c r="J7" s="54" t="inlineStr">
        <is>
          <t>Standard PTR with bulk scheme</t>
        </is>
      </c>
    </row>
    <row r="8" ht="21.75" customHeight="1" s="31">
      <c r="A8" s="55" t="inlineStr">
        <is>
          <t>INSGL3ML</t>
        </is>
      </c>
      <c r="B8" s="55" t="inlineStr">
        <is>
          <t>Insulin Glargine 100IU/mL</t>
        </is>
      </c>
      <c r="C8" s="55" t="n">
        <v>720</v>
      </c>
      <c r="D8" s="55" t="n">
        <v>650</v>
      </c>
      <c r="E8" s="55" t="n"/>
      <c r="F8" s="64">
        <f>IFERROR((C8-D8)/C8*100,0)</f>
        <v/>
      </c>
      <c r="G8" s="55" t="inlineStr">
        <is>
          <t>NO</t>
        </is>
      </c>
      <c r="H8" s="55" t="n">
        <v>630</v>
      </c>
      <c r="I8" s="55" t="n"/>
      <c r="J8" s="55" t="inlineStr">
        <is>
          <t>Cold chain fixed supply price no discount</t>
        </is>
      </c>
    </row>
    <row r="9" ht="21.75" customHeight="1" s="31">
      <c r="A9" s="54" t="inlineStr">
        <is>
          <t>VITD60K</t>
        </is>
      </c>
      <c r="B9" s="54" t="inlineStr">
        <is>
          <t>Vitamin D3 60000 IU</t>
        </is>
      </c>
      <c r="C9" s="54" t="n">
        <v>110</v>
      </c>
      <c r="D9" s="54" t="n">
        <v>90</v>
      </c>
      <c r="E9" s="54" t="n"/>
      <c r="F9" s="63">
        <f>IFERROR((C9-D9)/C9*100,0)</f>
        <v/>
      </c>
      <c r="G9" s="54" t="inlineStr">
        <is>
          <t>YES</t>
        </is>
      </c>
      <c r="H9" s="54" t="n">
        <v>80</v>
      </c>
      <c r="I9" s="54" t="inlineStr">
        <is>
          <t>Rs.85 for 50+ packs</t>
        </is>
      </c>
      <c r="J9" s="54" t="n"/>
    </row>
    <row r="10" ht="21.75" customHeight="1" s="31">
      <c r="A10" s="55" t="inlineStr">
        <is>
          <t>ATO10TAB</t>
        </is>
      </c>
      <c r="B10" s="55" t="inlineStr">
        <is>
          <t>Atorvastatin 10mg Tablet</t>
        </is>
      </c>
      <c r="C10" s="55" t="n">
        <v>85</v>
      </c>
      <c r="D10" s="55" t="n">
        <v>68</v>
      </c>
      <c r="E10" s="55" t="n"/>
      <c r="F10" s="64">
        <f>IFERROR((C10-D10)/C10*100,0)</f>
        <v/>
      </c>
      <c r="G10" s="55" t="inlineStr">
        <is>
          <t>YES</t>
        </is>
      </c>
      <c r="H10" s="55" t="n">
        <v>60</v>
      </c>
      <c r="I10" s="55" t="n"/>
      <c r="J10" s="55" t="n"/>
    </row>
    <row r="11" ht="21.75" customHeight="1" s="31">
      <c r="A11" s="54" t="inlineStr">
        <is>
          <t>PARA500</t>
        </is>
      </c>
      <c r="B11" s="54" t="inlineStr">
        <is>
          <t>Paracetamol 500mg Tablet</t>
        </is>
      </c>
      <c r="C11" s="54" t="n">
        <v>28</v>
      </c>
      <c r="D11" s="54" t="n">
        <v>22</v>
      </c>
      <c r="E11" s="54" t="n"/>
      <c r="F11" s="63">
        <f>IFERROR((C11-D11)/C11*100,0)</f>
        <v/>
      </c>
      <c r="G11" s="54" t="inlineStr">
        <is>
          <t>YES</t>
        </is>
      </c>
      <c r="H11" s="54" t="n">
        <v>18</v>
      </c>
      <c r="I11" s="54" t="n"/>
      <c r="J11" s="54" t="inlineStr">
        <is>
          <t>High volume OTC fast moving</t>
        </is>
      </c>
    </row>
    <row r="12" ht="15" customHeight="1" s="31">
      <c r="A12" s="55" t="n"/>
      <c r="B12" s="55" t="n"/>
      <c r="C12" s="55" t="n"/>
      <c r="D12" s="55" t="n"/>
      <c r="E12" s="55" t="n"/>
      <c r="F12" s="64">
        <f>IFERROR((C12-D12)/C12*100,0)</f>
        <v/>
      </c>
      <c r="G12" s="55" t="n"/>
      <c r="H12" s="55" t="n"/>
      <c r="I12" s="55" t="n"/>
      <c r="J12" s="55" t="n"/>
    </row>
    <row r="13" ht="15" customHeight="1" s="31">
      <c r="A13" s="54" t="n"/>
      <c r="B13" s="54" t="n"/>
      <c r="C13" s="54" t="n"/>
      <c r="D13" s="54" t="n"/>
      <c r="E13" s="54" t="n"/>
      <c r="F13" s="63">
        <f>IFERROR((C13-D13)/C13*100,0)</f>
        <v/>
      </c>
      <c r="G13" s="54" t="n"/>
      <c r="H13" s="54" t="n"/>
      <c r="I13" s="54" t="n"/>
      <c r="J13" s="54" t="n"/>
    </row>
    <row r="14" ht="15" customHeight="1" s="31">
      <c r="A14" s="55" t="n"/>
      <c r="B14" s="55" t="n"/>
      <c r="C14" s="55" t="n"/>
      <c r="D14" s="55" t="n"/>
      <c r="E14" s="55" t="n"/>
      <c r="F14" s="64">
        <f>IFERROR((C14-D14)/C14*100,0)</f>
        <v/>
      </c>
      <c r="G14" s="55" t="n"/>
      <c r="H14" s="55" t="n"/>
      <c r="I14" s="55" t="n"/>
      <c r="J14" s="55" t="n"/>
    </row>
    <row r="15" ht="15" customHeight="1" s="31">
      <c r="A15" s="54" t="n"/>
      <c r="B15" s="54" t="n"/>
      <c r="C15" s="54" t="n"/>
      <c r="D15" s="54" t="n"/>
      <c r="E15" s="54" t="n"/>
      <c r="F15" s="63">
        <f>IFERROR((C15-D15)/C15*100,0)</f>
        <v/>
      </c>
      <c r="G15" s="54" t="n"/>
      <c r="H15" s="54" t="n"/>
      <c r="I15" s="54" t="n"/>
      <c r="J15" s="54" t="n"/>
    </row>
    <row r="16" ht="15" customHeight="1" s="31">
      <c r="A16" s="55" t="n"/>
      <c r="B16" s="55" t="n"/>
      <c r="C16" s="55" t="n"/>
      <c r="D16" s="55" t="n"/>
      <c r="E16" s="55" t="n"/>
      <c r="F16" s="64">
        <f>IFERROR((C16-D16)/C16*100,0)</f>
        <v/>
      </c>
      <c r="G16" s="55" t="n"/>
      <c r="H16" s="55" t="n"/>
      <c r="I16" s="55" t="n"/>
      <c r="J16" s="55" t="n"/>
    </row>
    <row r="17" ht="15" customHeight="1" s="31">
      <c r="A17" s="54" t="n"/>
      <c r="B17" s="54" t="n"/>
      <c r="C17" s="54" t="n"/>
      <c r="D17" s="54" t="n"/>
      <c r="E17" s="54" t="n"/>
      <c r="F17" s="63">
        <f>IFERROR((C17-D17)/C17*100,0)</f>
        <v/>
      </c>
      <c r="G17" s="54" t="n"/>
      <c r="H17" s="54" t="n"/>
      <c r="I17" s="54" t="n"/>
      <c r="J17" s="54" t="n"/>
    </row>
    <row r="18" ht="15" customHeight="1" s="31">
      <c r="A18" s="55" t="n"/>
      <c r="B18" s="55" t="n"/>
      <c r="C18" s="55" t="n"/>
      <c r="D18" s="55" t="n"/>
      <c r="E18" s="55" t="n"/>
      <c r="F18" s="64">
        <f>IFERROR((C18-D18)/C18*100,0)</f>
        <v/>
      </c>
      <c r="G18" s="55" t="n"/>
      <c r="H18" s="55" t="n"/>
      <c r="I18" s="55" t="n"/>
      <c r="J18" s="55" t="n"/>
    </row>
    <row r="19" ht="15" customHeight="1" s="31">
      <c r="A19" s="54" t="n"/>
      <c r="B19" s="54" t="n"/>
      <c r="C19" s="54" t="n"/>
      <c r="D19" s="54" t="n"/>
      <c r="E19" s="54" t="n"/>
      <c r="F19" s="63">
        <f>IFERROR((C19-D19)/C19*100,0)</f>
        <v/>
      </c>
      <c r="G19" s="54" t="n"/>
      <c r="H19" s="54" t="n"/>
      <c r="I19" s="54" t="n"/>
      <c r="J19" s="54" t="n"/>
    </row>
    <row r="20" ht="15" customHeight="1" s="31">
      <c r="A20" s="55" t="n"/>
      <c r="B20" s="55" t="n"/>
      <c r="C20" s="55" t="n"/>
      <c r="D20" s="55" t="n"/>
      <c r="E20" s="55" t="n"/>
      <c r="F20" s="64">
        <f>IFERROR((C20-D20)/C20*100,0)</f>
        <v/>
      </c>
      <c r="G20" s="55" t="n"/>
      <c r="H20" s="55" t="n"/>
      <c r="I20" s="55" t="n"/>
      <c r="J20" s="55" t="n"/>
    </row>
    <row r="21" ht="15" customHeight="1" s="31">
      <c r="A21" s="54" t="n"/>
      <c r="B21" s="54" t="n"/>
      <c r="C21" s="54" t="n"/>
      <c r="D21" s="54" t="n"/>
      <c r="E21" s="54" t="n"/>
      <c r="F21" s="63">
        <f>IFERROR((C21-D21)/C21*100,0)</f>
        <v/>
      </c>
      <c r="G21" s="54" t="n"/>
      <c r="H21" s="54" t="n"/>
      <c r="I21" s="54" t="n"/>
      <c r="J21" s="54" t="n"/>
    </row>
    <row r="22" ht="15" customHeight="1" s="31">
      <c r="A22" s="55" t="n"/>
      <c r="B22" s="55" t="n"/>
      <c r="C22" s="55" t="n"/>
      <c r="D22" s="55" t="n"/>
      <c r="E22" s="55" t="n"/>
      <c r="F22" s="64">
        <f>IFERROR((C22-D22)/C22*100,0)</f>
        <v/>
      </c>
      <c r="G22" s="55" t="n"/>
      <c r="H22" s="55" t="n"/>
      <c r="I22" s="55" t="n"/>
      <c r="J22" s="55" t="n"/>
    </row>
    <row r="23" ht="15" customHeight="1" s="31">
      <c r="A23" s="54" t="n"/>
      <c r="B23" s="54" t="n"/>
      <c r="C23" s="54" t="n"/>
      <c r="D23" s="54" t="n"/>
      <c r="E23" s="54" t="n"/>
      <c r="F23" s="63">
        <f>IFERROR((C23-D23)/C23*100,0)</f>
        <v/>
      </c>
      <c r="G23" s="54" t="n"/>
      <c r="H23" s="54" t="n"/>
      <c r="I23" s="54" t="n"/>
      <c r="J23" s="54" t="n"/>
    </row>
    <row r="24" ht="15" customHeight="1" s="31">
      <c r="A24" s="55" t="n"/>
      <c r="B24" s="55" t="n"/>
      <c r="C24" s="55" t="n"/>
      <c r="D24" s="55" t="n"/>
      <c r="E24" s="55" t="n"/>
      <c r="F24" s="64">
        <f>IFERROR((C24-D24)/C24*100,0)</f>
        <v/>
      </c>
      <c r="G24" s="55" t="n"/>
      <c r="H24" s="55" t="n"/>
      <c r="I24" s="55" t="n"/>
      <c r="J24" s="55" t="n"/>
    </row>
    <row r="25" ht="15" customHeight="1" s="31">
      <c r="A25" s="54" t="n"/>
      <c r="B25" s="54" t="n"/>
      <c r="C25" s="54" t="n"/>
      <c r="D25" s="54" t="n"/>
      <c r="E25" s="54" t="n"/>
      <c r="F25" s="63">
        <f>IFERROR((C25-D25)/C25*100,0)</f>
        <v/>
      </c>
      <c r="G25" s="54" t="n"/>
      <c r="H25" s="54" t="n"/>
      <c r="I25" s="54" t="n"/>
      <c r="J25" s="54" t="n"/>
    </row>
    <row r="26" ht="15" customHeight="1" s="31">
      <c r="A26" s="55" t="n"/>
      <c r="B26" s="55" t="n"/>
      <c r="C26" s="55" t="n"/>
      <c r="D26" s="55" t="n"/>
      <c r="E26" s="55" t="n"/>
      <c r="F26" s="64">
        <f>IFERROR((C26-D26)/C26*100,0)</f>
        <v/>
      </c>
      <c r="G26" s="55" t="n"/>
      <c r="H26" s="55" t="n"/>
      <c r="I26" s="55" t="n"/>
      <c r="J26" s="55" t="n"/>
    </row>
    <row r="27" ht="15" customHeight="1" s="31">
      <c r="A27" s="54" t="n"/>
      <c r="B27" s="54" t="n"/>
      <c r="C27" s="54" t="n"/>
      <c r="D27" s="54" t="n"/>
      <c r="E27" s="54" t="n"/>
      <c r="F27" s="63">
        <f>IFERROR((C27-D27)/C27*100,0)</f>
        <v/>
      </c>
      <c r="G27" s="54" t="n"/>
      <c r="H27" s="54" t="n"/>
      <c r="I27" s="54" t="n"/>
      <c r="J27" s="54" t="n"/>
    </row>
    <row r="28" ht="15" customHeight="1" s="31">
      <c r="A28" s="55" t="n"/>
      <c r="B28" s="55" t="n"/>
      <c r="C28" s="55" t="n"/>
      <c r="D28" s="55" t="n"/>
      <c r="E28" s="55" t="n"/>
      <c r="F28" s="64">
        <f>IFERROR((C28-D28)/C28*100,0)</f>
        <v/>
      </c>
      <c r="G28" s="55" t="n"/>
      <c r="H28" s="55" t="n"/>
      <c r="I28" s="55" t="n"/>
      <c r="J28" s="55" t="n"/>
    </row>
    <row r="29" ht="15" customHeight="1" s="31">
      <c r="A29" s="54" t="n"/>
      <c r="B29" s="54" t="n"/>
      <c r="C29" s="54" t="n"/>
      <c r="D29" s="54" t="n"/>
      <c r="E29" s="54" t="n"/>
      <c r="F29" s="63">
        <f>IFERROR((C29-D29)/C29*100,0)</f>
        <v/>
      </c>
      <c r="G29" s="54" t="n"/>
      <c r="H29" s="54" t="n"/>
      <c r="I29" s="54" t="n"/>
      <c r="J29" s="54" t="n"/>
    </row>
    <row r="30" ht="15" customHeight="1" s="31">
      <c r="A30" s="55" t="n"/>
      <c r="B30" s="55" t="n"/>
      <c r="C30" s="55" t="n"/>
      <c r="D30" s="55" t="n"/>
      <c r="E30" s="55" t="n"/>
      <c r="F30" s="64">
        <f>IFERROR((C30-D30)/C30*100,0)</f>
        <v/>
      </c>
      <c r="G30" s="55" t="n"/>
      <c r="H30" s="55" t="n"/>
      <c r="I30" s="55" t="n"/>
      <c r="J30" s="55" t="n"/>
    </row>
    <row r="31" ht="15" customHeight="1" s="31">
      <c r="A31" s="54" t="n"/>
      <c r="B31" s="54" t="n"/>
      <c r="C31" s="54" t="n"/>
      <c r="D31" s="54" t="n"/>
      <c r="E31" s="54" t="n"/>
      <c r="F31" s="63">
        <f>IFERROR((C31-D31)/C31*100,0)</f>
        <v/>
      </c>
      <c r="G31" s="54" t="n"/>
      <c r="H31" s="54" t="n"/>
      <c r="I31" s="54" t="n"/>
      <c r="J31" s="54" t="n"/>
    </row>
    <row r="32" ht="15" customHeight="1" s="31">
      <c r="A32" s="55" t="n"/>
      <c r="B32" s="55" t="n"/>
      <c r="C32" s="55" t="n"/>
      <c r="D32" s="55" t="n"/>
      <c r="E32" s="55" t="n"/>
      <c r="F32" s="64">
        <f>IFERROR((C32-D32)/C32*100,0)</f>
        <v/>
      </c>
      <c r="G32" s="55" t="n"/>
      <c r="H32" s="55" t="n"/>
      <c r="I32" s="55" t="n"/>
      <c r="J32" s="55" t="n"/>
    </row>
    <row r="33" ht="15" customHeight="1" s="31">
      <c r="A33" s="54" t="n"/>
      <c r="B33" s="54" t="n"/>
      <c r="C33" s="54" t="n"/>
      <c r="D33" s="54" t="n"/>
      <c r="E33" s="54" t="n"/>
      <c r="F33" s="63">
        <f>IFERROR((C33-D33)/C33*100,0)</f>
        <v/>
      </c>
      <c r="G33" s="54" t="n"/>
      <c r="H33" s="54" t="n"/>
      <c r="I33" s="54" t="n"/>
      <c r="J33" s="54" t="n"/>
    </row>
    <row r="34" ht="15" customHeight="1" s="31">
      <c r="A34" s="55" t="n"/>
      <c r="B34" s="55" t="n"/>
      <c r="C34" s="55" t="n"/>
      <c r="D34" s="55" t="n"/>
      <c r="E34" s="55" t="n"/>
      <c r="F34" s="64">
        <f>IFERROR((C34-D34)/C34*100,0)</f>
        <v/>
      </c>
      <c r="G34" s="55" t="n"/>
      <c r="H34" s="55" t="n"/>
      <c r="I34" s="55" t="n"/>
      <c r="J34" s="55" t="n"/>
    </row>
    <row r="35" ht="15" customHeight="1" s="31">
      <c r="A35" s="54" t="n"/>
      <c r="B35" s="54" t="n"/>
      <c r="C35" s="54" t="n"/>
      <c r="D35" s="54" t="n"/>
      <c r="E35" s="54" t="n"/>
      <c r="F35" s="63">
        <f>IFERROR((C35-D35)/C35*100,0)</f>
        <v/>
      </c>
      <c r="G35" s="54" t="n"/>
      <c r="H35" s="54" t="n"/>
      <c r="I35" s="54" t="n"/>
      <c r="J35" s="54" t="n"/>
    </row>
    <row r="36" ht="15" customHeight="1" s="31">
      <c r="A36" s="55" t="n"/>
      <c r="B36" s="55" t="n"/>
      <c r="C36" s="55" t="n"/>
      <c r="D36" s="55" t="n"/>
      <c r="E36" s="55" t="n"/>
      <c r="F36" s="64">
        <f>IFERROR((C36-D36)/C36*100,0)</f>
        <v/>
      </c>
      <c r="G36" s="55" t="n"/>
      <c r="H36" s="55" t="n"/>
      <c r="I36" s="55" t="n"/>
      <c r="J36" s="55" t="n"/>
    </row>
    <row r="37" ht="15" customHeight="1" s="31">
      <c r="A37" s="54" t="n"/>
      <c r="B37" s="54" t="n"/>
      <c r="C37" s="54" t="n"/>
      <c r="D37" s="54" t="n"/>
      <c r="E37" s="54" t="n"/>
      <c r="F37" s="63">
        <f>IFERROR((C37-D37)/C37*100,0)</f>
        <v/>
      </c>
      <c r="G37" s="54" t="n"/>
      <c r="H37" s="54" t="n"/>
      <c r="I37" s="54" t="n"/>
      <c r="J37" s="54" t="n"/>
    </row>
    <row r="38" ht="15" customHeight="1" s="31">
      <c r="A38" s="55" t="n"/>
      <c r="B38" s="55" t="n"/>
      <c r="C38" s="55" t="n"/>
      <c r="D38" s="55" t="n"/>
      <c r="E38" s="55" t="n"/>
      <c r="F38" s="64">
        <f>IFERROR((C38-D38)/C38*100,0)</f>
        <v/>
      </c>
      <c r="G38" s="55" t="n"/>
      <c r="H38" s="55" t="n"/>
      <c r="I38" s="55" t="n"/>
      <c r="J38" s="55" t="n"/>
    </row>
    <row r="39" ht="15" customHeight="1" s="31">
      <c r="A39" s="54" t="n"/>
      <c r="B39" s="54" t="n"/>
      <c r="C39" s="54" t="n"/>
      <c r="D39" s="54" t="n"/>
      <c r="E39" s="54" t="n"/>
      <c r="F39" s="63">
        <f>IFERROR((C39-D39)/C39*100,0)</f>
        <v/>
      </c>
      <c r="G39" s="54" t="n"/>
      <c r="H39" s="54" t="n"/>
      <c r="I39" s="54" t="n"/>
      <c r="J39" s="54" t="n"/>
    </row>
    <row r="40" ht="15" customHeight="1" s="31">
      <c r="A40" s="55" t="n"/>
      <c r="B40" s="55" t="n"/>
      <c r="C40" s="55" t="n"/>
      <c r="D40" s="55" t="n"/>
      <c r="E40" s="55" t="n"/>
      <c r="F40" s="64">
        <f>IFERROR((C40-D40)/C40*100,0)</f>
        <v/>
      </c>
      <c r="G40" s="55" t="n"/>
      <c r="H40" s="55" t="n"/>
      <c r="I40" s="55" t="n"/>
      <c r="J40" s="55" t="n"/>
    </row>
    <row r="41" ht="15" customHeight="1" s="31">
      <c r="A41" s="54" t="n"/>
      <c r="B41" s="54" t="n"/>
      <c r="C41" s="54" t="n"/>
      <c r="D41" s="54" t="n"/>
      <c r="E41" s="54" t="n"/>
      <c r="F41" s="63">
        <f>IFERROR((C41-D41)/C41*100,0)</f>
        <v/>
      </c>
      <c r="G41" s="54" t="n"/>
      <c r="H41" s="54" t="n"/>
      <c r="I41" s="54" t="n"/>
      <c r="J41" s="54" t="n"/>
    </row>
    <row r="42" ht="15" customHeight="1" s="31">
      <c r="A42" s="55" t="n"/>
      <c r="B42" s="55" t="n"/>
      <c r="C42" s="55" t="n"/>
      <c r="D42" s="55" t="n"/>
      <c r="E42" s="55" t="n"/>
      <c r="F42" s="64">
        <f>IFERROR((C42-D42)/C42*100,0)</f>
        <v/>
      </c>
      <c r="G42" s="55" t="n"/>
      <c r="H42" s="55" t="n"/>
      <c r="I42" s="55" t="n"/>
      <c r="J42" s="55" t="n"/>
    </row>
    <row r="43" ht="15" customHeight="1" s="31">
      <c r="A43" s="54" t="n"/>
      <c r="B43" s="54" t="n"/>
      <c r="C43" s="54" t="n"/>
      <c r="D43" s="54" t="n"/>
      <c r="E43" s="54" t="n"/>
      <c r="F43" s="63">
        <f>IFERROR((C43-D43)/C43*100,0)</f>
        <v/>
      </c>
      <c r="G43" s="54" t="n"/>
      <c r="H43" s="54" t="n"/>
      <c r="I43" s="54" t="n"/>
      <c r="J43" s="54" t="n"/>
    </row>
    <row r="44" ht="15" customHeight="1" s="31">
      <c r="A44" s="55" t="n"/>
      <c r="B44" s="55" t="n"/>
      <c r="C44" s="55" t="n"/>
      <c r="D44" s="55" t="n"/>
      <c r="E44" s="55" t="n"/>
      <c r="F44" s="64">
        <f>IFERROR((C44-D44)/C44*100,0)</f>
        <v/>
      </c>
      <c r="G44" s="55" t="n"/>
      <c r="H44" s="55" t="n"/>
      <c r="I44" s="55" t="n"/>
      <c r="J44" s="55" t="n"/>
    </row>
    <row r="45" ht="15" customHeight="1" s="31">
      <c r="A45" s="54" t="n"/>
      <c r="B45" s="54" t="n"/>
      <c r="C45" s="54" t="n"/>
      <c r="D45" s="54" t="n"/>
      <c r="E45" s="54" t="n"/>
      <c r="F45" s="63">
        <f>IFERROR((C45-D45)/C45*100,0)</f>
        <v/>
      </c>
      <c r="G45" s="54" t="n"/>
      <c r="H45" s="54" t="n"/>
      <c r="I45" s="54" t="n"/>
      <c r="J45" s="54" t="n"/>
    </row>
    <row r="46" ht="15" customHeight="1" s="31">
      <c r="A46" s="55" t="n"/>
      <c r="B46" s="55" t="n"/>
      <c r="C46" s="55" t="n"/>
      <c r="D46" s="55" t="n"/>
      <c r="E46" s="55" t="n"/>
      <c r="F46" s="64">
        <f>IFERROR((C46-D46)/C46*100,0)</f>
        <v/>
      </c>
      <c r="G46" s="55" t="n"/>
      <c r="H46" s="55" t="n"/>
      <c r="I46" s="55" t="n"/>
      <c r="J46" s="55" t="n"/>
    </row>
    <row r="47" ht="15" customHeight="1" s="31">
      <c r="A47" s="54" t="n"/>
      <c r="B47" s="54" t="n"/>
      <c r="C47" s="54" t="n"/>
      <c r="D47" s="54" t="n"/>
      <c r="E47" s="54" t="n"/>
      <c r="F47" s="63">
        <f>IFERROR((C47-D47)/C47*100,0)</f>
        <v/>
      </c>
      <c r="G47" s="54" t="n"/>
      <c r="H47" s="54" t="n"/>
      <c r="I47" s="54" t="n"/>
      <c r="J47" s="54" t="n"/>
    </row>
    <row r="48" ht="15" customHeight="1" s="31">
      <c r="A48" s="55" t="n"/>
      <c r="B48" s="55" t="n"/>
      <c r="C48" s="55" t="n"/>
      <c r="D48" s="55" t="n"/>
      <c r="E48" s="55" t="n"/>
      <c r="F48" s="64">
        <f>IFERROR((C48-D48)/C48*100,0)</f>
        <v/>
      </c>
      <c r="G48" s="55" t="n"/>
      <c r="H48" s="55" t="n"/>
      <c r="I48" s="55" t="n"/>
      <c r="J48" s="55" t="n"/>
    </row>
    <row r="49" ht="15" customHeight="1" s="31">
      <c r="A49" s="54" t="n"/>
      <c r="B49" s="54" t="n"/>
      <c r="C49" s="54" t="n"/>
      <c r="D49" s="54" t="n"/>
      <c r="E49" s="54" t="n"/>
      <c r="F49" s="63">
        <f>IFERROR((C49-D49)/C49*100,0)</f>
        <v/>
      </c>
      <c r="G49" s="54" t="n"/>
      <c r="H49" s="54" t="n"/>
      <c r="I49" s="54" t="n"/>
      <c r="J49" s="54" t="n"/>
    </row>
    <row r="50" ht="15" customHeight="1" s="31">
      <c r="A50" s="55" t="n"/>
      <c r="B50" s="55" t="n"/>
      <c r="C50" s="55" t="n"/>
      <c r="D50" s="55" t="n"/>
      <c r="E50" s="55" t="n"/>
      <c r="F50" s="64">
        <f>IFERROR((C50-D50)/C50*100,0)</f>
        <v/>
      </c>
      <c r="G50" s="55" t="n"/>
      <c r="H50" s="55" t="n"/>
      <c r="I50" s="55" t="n"/>
      <c r="J50" s="55" t="n"/>
    </row>
    <row r="51" ht="15" customHeight="1" s="31">
      <c r="A51" s="54" t="n"/>
      <c r="B51" s="54" t="n"/>
      <c r="C51" s="54" t="n"/>
      <c r="D51" s="54" t="n"/>
      <c r="E51" s="54" t="n"/>
      <c r="F51" s="63">
        <f>IFERROR((C51-D51)/C51*100,0)</f>
        <v/>
      </c>
      <c r="G51" s="54" t="n"/>
      <c r="H51" s="54" t="n"/>
      <c r="I51" s="54" t="n"/>
      <c r="J51" s="54" t="n"/>
    </row>
    <row r="52" ht="15" customHeight="1" s="31">
      <c r="A52" s="55" t="n"/>
      <c r="B52" s="55" t="n"/>
      <c r="C52" s="55" t="n"/>
      <c r="D52" s="55" t="n"/>
      <c r="E52" s="55" t="n"/>
      <c r="F52" s="64">
        <f>IFERROR((C52-D52)/C52*100,0)</f>
        <v/>
      </c>
      <c r="G52" s="55" t="n"/>
      <c r="H52" s="55" t="n"/>
      <c r="I52" s="55" t="n"/>
      <c r="J52" s="55" t="n"/>
    </row>
    <row r="53" ht="15" customHeight="1" s="31">
      <c r="A53" s="54" t="n"/>
      <c r="B53" s="54" t="n"/>
      <c r="C53" s="54" t="n"/>
      <c r="D53" s="54" t="n"/>
      <c r="E53" s="54" t="n"/>
      <c r="F53" s="63">
        <f>IFERROR((C53-D53)/C53*100,0)</f>
        <v/>
      </c>
      <c r="G53" s="54" t="n"/>
      <c r="H53" s="54" t="n"/>
      <c r="I53" s="54" t="n"/>
      <c r="J53" s="54" t="n"/>
    </row>
    <row r="54" ht="15" customHeight="1" s="31">
      <c r="A54" s="55" t="n"/>
      <c r="B54" s="55" t="n"/>
      <c r="C54" s="55" t="n"/>
      <c r="D54" s="55" t="n"/>
      <c r="E54" s="55" t="n"/>
      <c r="F54" s="64">
        <f>IFERROR((C54-D54)/C54*100,0)</f>
        <v/>
      </c>
      <c r="G54" s="55" t="n"/>
      <c r="H54" s="55" t="n"/>
      <c r="I54" s="55" t="n"/>
      <c r="J54" s="55" t="n"/>
    </row>
    <row r="55" ht="15" customHeight="1" s="31">
      <c r="A55" s="54" t="n"/>
      <c r="B55" s="54" t="n"/>
      <c r="C55" s="54" t="n"/>
      <c r="D55" s="54" t="n"/>
      <c r="E55" s="54" t="n"/>
      <c r="F55" s="63">
        <f>IFERROR((C55-D55)/C55*100,0)</f>
        <v/>
      </c>
      <c r="G55" s="54" t="n"/>
      <c r="H55" s="54" t="n"/>
      <c r="I55" s="54" t="n"/>
      <c r="J55" s="54" t="n"/>
    </row>
    <row r="56" ht="15" customHeight="1" s="31">
      <c r="A56" s="55" t="n"/>
      <c r="B56" s="55" t="n"/>
      <c r="C56" s="55" t="n"/>
      <c r="D56" s="55" t="n"/>
      <c r="E56" s="55" t="n"/>
      <c r="F56" s="64">
        <f>IFERROR((C56-D56)/C56*100,0)</f>
        <v/>
      </c>
      <c r="G56" s="55" t="n"/>
      <c r="H56" s="55" t="n"/>
      <c r="I56" s="55" t="n"/>
      <c r="J56" s="55" t="n"/>
    </row>
  </sheetData>
  <mergeCells count="4">
    <mergeCell ref="A1:J1"/>
    <mergeCell ref="A4:J4"/>
    <mergeCell ref="A3:J3"/>
    <mergeCell ref="A2:J2"/>
  </mergeCells>
  <dataValidations count="1">
    <dataValidation sqref="G7:G60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2026-03-29T22:45:53Z</dcterms:created>
  <dcterms:modified xmlns:dcterms="http://purl.org/dc/terms/" xmlns:xsi="http://www.w3.org/2001/XMLSchema-instance" xsi:type="dcterms:W3CDTF">2026-10-03T07:07:42Z</dcterms:modified>
  <cp:revision>0</cp:revision>
</cp:coreProperties>
</file>