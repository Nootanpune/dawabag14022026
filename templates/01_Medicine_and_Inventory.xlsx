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Medicine_Master" sheetId="1" state="visible" r:id="rId3"/>
    <sheet name="2_Opening_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<sst xmlns="http://schemas.openxmlformats.org/spreadsheetml/2006/main" count="428" uniqueCount="302">
  <si>
    <t xml:space="preserve">  DAWABAG — MEDICINE MASTER</t>
  </si>
  <si>
    <t xml:space="preserve">  Complete list of all medicines to be listed on Dawabag</t>
  </si>
  <si>
    <t xml:space="preserve">  ★ = Mandatory  |  Do NOT change column headings  |  NEW v3.1: Cols 14-16 = PTR/PTS/Institutional prices (auto-formula, admin must verify)  |  Cols 17-18 = Min order qty for retailer/wholesaler  |  Col 19 = Reorder level (triggers low-stock alert in system)  |  Weight cols: Unit wt (g), Storage condition, Coolant weight (auto), Total courier weight (auto)</t>
  </si>
  <si>
    <t xml:space="preserve">  Prepared by: ___________________   Date: ___________   Sheet version: v1.0   Last updated: 29 Mar 2026</t>
  </si>
  <si>
    <t xml:space="preserve">★ Medicine Name (Brand)</t>
  </si>
  <si>
    <t xml:space="preserve">★ Generic / Chemical Name</t>
  </si>
  <si>
    <t xml:space="preserve">★ SKU Code</t>
  </si>
  <si>
    <t xml:space="preserve">★ Category</t>
  </si>
  <si>
    <t xml:space="preserve">★ Drug Schedule</t>
  </si>
  <si>
    <t xml:space="preserve">★ Drug Form</t>
  </si>
  <si>
    <t xml:space="preserve">★ Strength / Pack Size</t>
  </si>
  <si>
    <t xml:space="preserve">★ Marketed By (Company)</t>
  </si>
  <si>
    <t xml:space="preserve">★ MRP (₹) per unit</t>
  </si>
  <si>
    <t xml:space="preserve">★ Offer Price (₹)</t>
  </si>
  <si>
    <t xml:space="preserve">★ GST Rate (%)</t>
  </si>
  <si>
    <t xml:space="preserve">★ HSN Code</t>
  </si>
  <si>
    <t xml:space="preserve">Max Qty Per Order</t>
  </si>
  <si>
    <t xml:space="preserve">★ PTR Price — Retailer (₹)</t>
  </si>
  <si>
    <t xml:space="preserve">★ PTS Price — Wholesaler (₹)</t>
  </si>
  <si>
    <t xml:space="preserve">★ Institutional Price — Doctor (₹)</t>
  </si>
  <si>
    <t xml:space="preserve">★ Min Order Qty — Retailer (strips)</t>
  </si>
  <si>
    <t xml:space="preserve">★ Min Order Qty — Wholesaler (strips)</t>
  </si>
  <si>
    <t xml:space="preserve">★ Reorder Level (qty — trigger alert)</t>
  </si>
  <si>
    <t xml:space="preserve">★ Unit Weight per SKU (grams)</t>
  </si>
  <si>
    <t xml:space="preserve">Cold Chain: Min Consignment Wt (kg)</t>
  </si>
  <si>
    <t xml:space="preserve">Est. Medicine Weight — Max Order (kg)</t>
  </si>
  <si>
    <t xml:space="preserve">★ Storage Condition</t>
  </si>
  <si>
    <t xml:space="preserve">Coolant Bag Weight per Consignment (kg)</t>
  </si>
  <si>
    <t xml:space="preserve">★ Total Courier Weight — Max Order (kg)</t>
  </si>
  <si>
    <t xml:space="preserve">Cold Chain Required?</t>
  </si>
  <si>
    <t xml:space="preserve">Storage Instructions</t>
  </si>
  <si>
    <t xml:space="preserve">Composition / Ingredients</t>
  </si>
  <si>
    <t xml:space="preserve">Description (for customers)</t>
  </si>
  <si>
    <t xml:space="preserve">Active for Sale?</t>
  </si>
  <si>
    <t xml:space="preserve">e.g. Metformin 500mg SR Tablet</t>
  </si>
  <si>
    <t xml:space="preserve">e.g. Metformin Hydrochloride</t>
  </si>
  <si>
    <t xml:space="preserve">Unique code e.g. MET500SR</t>
  </si>
  <si>
    <t xml:space="preserve">Diabetic / Cardiac / Antibiotic...</t>
  </si>
  <si>
    <t xml:space="preserve">OTC / Schedule H / Schedule H1</t>
  </si>
  <si>
    <t xml:space="preserve">Tablet / Capsule / Syrup / Injection...</t>
  </si>
  <si>
    <t xml:space="preserve">e.g. 500mg / Strip of 15 / 100ml</t>
  </si>
  <si>
    <t xml:space="preserve">e.g. Sun Pharmaceuticals Ltd</t>
  </si>
  <si>
    <t xml:space="preserve">MRP printed on pack — numbers only</t>
  </si>
  <si>
    <t xml:space="preserve">Selling price on app (≤ MRP)</t>
  </si>
  <si>
    <t xml:space="preserve">0 / 5 / 12 / 18 — numbers only</t>
  </si>
  <si>
    <t xml:space="preserve">8-digit HSN code e.g. 30049099</t>
  </si>
  <si>
    <t xml:space="preserve">Default 3 — max strips per order</t>
  </si>
  <si>
    <t xml:space="preserve">Price to Retailer (10-20% below MRP). e.g. if MRP=50, PTR=40</t>
  </si>
  <si>
    <t xml:space="preserve">Price to Stockist (15-25% below MRP). e.g. if MRP=50, PTS=37.50</t>
  </si>
  <si>
    <t xml:space="preserve">Doctor/Hospital price (8-15% below MRP). e.g. if MRP=50, Inst=43</t>
  </si>
  <si>
    <t xml:space="preserve">Minimum strips/units a B2B Retailer must order. e.g. 10 strips = 1 box</t>
  </si>
  <si>
    <t xml:space="preserve">Minimum strips/units a Wholesaler must order. e.g. 100 = 1 carton</t>
  </si>
  <si>
    <t xml:space="preserve">When stock falls to or below this quantity, system sends LOW STOCK alert to admin</t>
  </si>
  <si>
    <t xml:space="preserve">Weigh ONE unit/strip/vial/pack on a kitchen scale. e.g. strip of 15 tabs ≈ 30–40g. Vial ≈ 25–50g.</t>
  </si>
  <si>
    <t xml:space="preserve">For cold chain SKUs ONLY: minimum kg per cold consignment. Typically 2kg–5kg. Leave blank for room temp.</t>
  </si>
  <si>
    <t xml:space="preserve">AUTO = Col N (unit wt g) × Col M (max qty) ÷ 1000. Medicine weight only — before adding coolant.</t>
  </si>
  <si>
    <t xml:space="preserve">Select from dropdown. Drives coolant bag weight calculation in next column.</t>
  </si>
  <si>
    <t xml:space="preserve">AUTO: Room Temp = 0kg. Refrigerated 2–8°C = 2kg. Frozen &lt;-15°C = 3.5kg. Or enter manually if known.</t>
  </si>
  <si>
    <t xml:space="preserve">AUTO = Medicine weight (col P) + Coolant bag weight (col R). Use this for courier rate calculation.</t>
  </si>
  <si>
    <t xml:space="preserve">YES / NO</t>
  </si>
  <si>
    <t xml:space="preserve">e.g. Store below 25°C in dry place</t>
  </si>
  <si>
    <t xml:space="preserve">e.g. Metformin HCl 500mg</t>
  </si>
  <si>
    <t xml:space="preserve">Short description shown to customer</t>
  </si>
  <si>
    <t xml:space="preserve">YES / NO (default YES)</t>
  </si>
  <si>
    <t xml:space="preserve">Metformin 500mg SR Tablet</t>
  </si>
  <si>
    <t xml:space="preserve">Metformin Hydrochloride</t>
  </si>
  <si>
    <t xml:space="preserve">MET500SR</t>
  </si>
  <si>
    <t xml:space="preserve">Diabetic</t>
  </si>
  <si>
    <t xml:space="preserve">Schedule H</t>
  </si>
  <si>
    <t xml:space="preserve">Tablet</t>
  </si>
  <si>
    <t xml:space="preserve">500mg / Strip of 15</t>
  </si>
  <si>
    <t xml:space="preserve">Sun Pharmaceuticals Ltd</t>
  </si>
  <si>
    <t xml:space="preserve">30049099</t>
  </si>
  <si>
    <t xml:space="preserve">—</t>
  </si>
  <si>
    <t xml:space="preserve">Room Temperature (15–30°C)</t>
  </si>
  <si>
    <t xml:space="preserve">NO</t>
  </si>
  <si>
    <t xml:space="preserve">Store below 30°C</t>
  </si>
  <si>
    <t xml:space="preserve">Metformin HCl 500mg</t>
  </si>
  <si>
    <t xml:space="preserve">Used to control blood sugar in Type 2 Diabetes</t>
  </si>
  <si>
    <t xml:space="preserve">YES</t>
  </si>
  <si>
    <t xml:space="preserve">Insulin Glargine 100IU/mL</t>
  </si>
  <si>
    <t xml:space="preserve">Insulin Glargine</t>
  </si>
  <si>
    <t xml:space="preserve">INSGL3ML</t>
  </si>
  <si>
    <t xml:space="preserve">Injection</t>
  </si>
  <si>
    <t xml:space="preserve">100IU/mL / 3mL Vial</t>
  </si>
  <si>
    <t xml:space="preserve">Sanofi India Ltd</t>
  </si>
  <si>
    <t xml:space="preserve">Refrigerated (2–8°C)</t>
  </si>
  <si>
    <t xml:space="preserve">Store at 2–8°C refrigerated</t>
  </si>
  <si>
    <t xml:space="preserve">Insulin Glargine rDNA</t>
  </si>
  <si>
    <t xml:space="preserve">Long-acting insulin for Type 2 Diabetes</t>
  </si>
  <si>
    <t xml:space="preserve">Atorvastatin 10mg Tablet</t>
  </si>
  <si>
    <t xml:space="preserve">Atorvastatin Calcium</t>
  </si>
  <si>
    <t xml:space="preserve">ATO10TAB</t>
  </si>
  <si>
    <t xml:space="preserve">Cardiac</t>
  </si>
  <si>
    <t xml:space="preserve">10mg / Strip of 15</t>
  </si>
  <si>
    <t xml:space="preserve">Pfizer Ltd</t>
  </si>
  <si>
    <t xml:space="preserve">Atorvastatin Calcium 10mg</t>
  </si>
  <si>
    <t xml:space="preserve">Reduces cholesterol. Statins group.</t>
  </si>
  <si>
    <t xml:space="preserve">Vitamin D3 60000 IU Capsule</t>
  </si>
  <si>
    <t xml:space="preserve">Cholecalciferol</t>
  </si>
  <si>
    <t xml:space="preserve">VITD60K</t>
  </si>
  <si>
    <t xml:space="preserve">Vitamins</t>
  </si>
  <si>
    <t xml:space="preserve">OTC</t>
  </si>
  <si>
    <t xml:space="preserve">Capsule</t>
  </si>
  <si>
    <t xml:space="preserve">60000 IU / Pack of 4</t>
  </si>
  <si>
    <t xml:space="preserve">Abbott India Ltd</t>
  </si>
  <si>
    <t xml:space="preserve">29362990</t>
  </si>
  <si>
    <t xml:space="preserve">Cool &amp; Dry (below 25°C)</t>
  </si>
  <si>
    <t xml:space="preserve">Store in cool dry place</t>
  </si>
  <si>
    <t xml:space="preserve">Cholecalciferol 60000 IU</t>
  </si>
  <si>
    <t xml:space="preserve">Weekly Vitamin D supplement capsule</t>
  </si>
  <si>
    <t xml:space="preserve">Amoxicillin 500mg Capsule</t>
  </si>
  <si>
    <t xml:space="preserve">Amoxicillin Trihydrate</t>
  </si>
  <si>
    <t xml:space="preserve">AMOX500</t>
  </si>
  <si>
    <t xml:space="preserve">Antibiotic</t>
  </si>
  <si>
    <t xml:space="preserve">500mg / Strip of 10</t>
  </si>
  <si>
    <t xml:space="preserve">Cipla Ltd</t>
  </si>
  <si>
    <t xml:space="preserve">30041020</t>
  </si>
  <si>
    <t xml:space="preserve">Store below 25°C</t>
  </si>
  <si>
    <t xml:space="preserve">Amoxicillin 500mg</t>
  </si>
  <si>
    <t xml:space="preserve">Broad spectrum antibiotic for infections</t>
  </si>
  <si>
    <t xml:space="preserve">Paracetamol 500mg Tablet</t>
  </si>
  <si>
    <t xml:space="preserve">Paracetamol</t>
  </si>
  <si>
    <t xml:space="preserve">PARA500</t>
  </si>
  <si>
    <t xml:space="preserve">OTC Pain</t>
  </si>
  <si>
    <t xml:space="preserve">GSK Pharmaceuticals</t>
  </si>
  <si>
    <t xml:space="preserve">Paracetamol 500mg</t>
  </si>
  <si>
    <t xml:space="preserve">For fever and mild to moderate pain relief</t>
  </si>
  <si>
    <t xml:space="preserve">Amlodipine 5mg Tablet</t>
  </si>
  <si>
    <t xml:space="preserve">Amlodipine Besylate</t>
  </si>
  <si>
    <t xml:space="preserve">AMLO5MG</t>
  </si>
  <si>
    <t xml:space="preserve">5mg / Strip of 15</t>
  </si>
  <si>
    <t xml:space="preserve">Sun Pharma</t>
  </si>
  <si>
    <t xml:space="preserve">Amlodipine Besylate 5mg</t>
  </si>
  <si>
    <t xml:space="preserve">Calcium channel blocker for hypertension</t>
  </si>
  <si>
    <t xml:space="preserve">Azithromycin 500mg Tablet</t>
  </si>
  <si>
    <t xml:space="preserve">Azithromycin Dihydrate</t>
  </si>
  <si>
    <t xml:space="preserve">AZITH500</t>
  </si>
  <si>
    <t xml:space="preserve">500mg / Strip of 3</t>
  </si>
  <si>
    <t xml:space="preserve">Azithromycin 500mg</t>
  </si>
  <si>
    <t xml:space="preserve">Macrolide antibiotic for respiratory infections</t>
  </si>
  <si>
    <t xml:space="preserve">Glimepiride 1mg Tablet</t>
  </si>
  <si>
    <t xml:space="preserve">Glimepiride</t>
  </si>
  <si>
    <t xml:space="preserve">GLIM1MG</t>
  </si>
  <si>
    <t xml:space="preserve">1mg / Strip of 15</t>
  </si>
  <si>
    <t xml:space="preserve">USV Pvt Ltd</t>
  </si>
  <si>
    <t xml:space="preserve">Glimepiride 1mg</t>
  </si>
  <si>
    <t xml:space="preserve">Sulfonylurea for Type 2 Diabetes</t>
  </si>
  <si>
    <t xml:space="preserve">Pantoprazole 40mg Tablet</t>
  </si>
  <si>
    <t xml:space="preserve">Pantoprazole Sodium</t>
  </si>
  <si>
    <t xml:space="preserve">PAN40MG</t>
  </si>
  <si>
    <t xml:space="preserve">Gastric</t>
  </si>
  <si>
    <t xml:space="preserve">40mg / Strip of 15</t>
  </si>
  <si>
    <t xml:space="preserve">Torrent Pharma</t>
  </si>
  <si>
    <t xml:space="preserve">Pantoprazole Sodium 40mg</t>
  </si>
  <si>
    <t xml:space="preserve">Proton pump inhibitor for acidity</t>
  </si>
  <si>
    <t xml:space="preserve">Cetirizine 10mg Tablet</t>
  </si>
  <si>
    <t xml:space="preserve">Cetirizine Hydrochloride</t>
  </si>
  <si>
    <t xml:space="preserve">CETI10MG</t>
  </si>
  <si>
    <t xml:space="preserve">Allergy</t>
  </si>
  <si>
    <t xml:space="preserve">10mg / Strip of 10</t>
  </si>
  <si>
    <t xml:space="preserve">Mankind Pharma</t>
  </si>
  <si>
    <t xml:space="preserve">Cetirizine HCl 10mg</t>
  </si>
  <si>
    <t xml:space="preserve">Antihistamine for allergic rhinitis</t>
  </si>
  <si>
    <t xml:space="preserve">Telmisartan 40mg Tablet</t>
  </si>
  <si>
    <t xml:space="preserve">Telmisartan</t>
  </si>
  <si>
    <t xml:space="preserve">TELM40MG</t>
  </si>
  <si>
    <t xml:space="preserve">40mg / Strip of 14</t>
  </si>
  <si>
    <t xml:space="preserve">Glenmark Pharma</t>
  </si>
  <si>
    <t xml:space="preserve">Telmisartan 40mg</t>
  </si>
  <si>
    <t xml:space="preserve">Angiotensin receptor blocker for hypertension</t>
  </si>
  <si>
    <t xml:space="preserve">  SHIPMENT WEIGHT REFERENCE TABLE  —  Use these ranges to estimate courier charges</t>
  </si>
  <si>
    <t xml:space="preserve">Weight Slab</t>
  </si>
  <si>
    <t xml:space="preserve">Typical Courier Charge (approx)</t>
  </si>
  <si>
    <t xml:space="preserve">Applicable For</t>
  </si>
  <si>
    <t xml:space="preserve">Notes</t>
  </si>
  <si>
    <t xml:space="preserve">Up to 500g</t>
  </si>
  <si>
    <t xml:space="preserve">₹49 – ₹79</t>
  </si>
  <si>
    <t xml:space="preserve">OTC tablets, small strips</t>
  </si>
  <si>
    <t xml:space="preserve">Most single-medicine orders</t>
  </si>
  <si>
    <t xml:space="preserve">500g – 1 kg</t>
  </si>
  <si>
    <t xml:space="preserve">₹79 – ₹120</t>
  </si>
  <si>
    <t xml:space="preserve">2–3 strip orders</t>
  </si>
  <si>
    <t xml:space="preserve">Standard order — most common</t>
  </si>
  <si>
    <t xml:space="preserve">1 kg – 2 kg</t>
  </si>
  <si>
    <t xml:space="preserve">₹120 – ₹180</t>
  </si>
  <si>
    <t xml:space="preserve">Multi-medicine orders</t>
  </si>
  <si>
    <t xml:space="preserve">Bulk monthly order</t>
  </si>
  <si>
    <t xml:space="preserve">2 kg – 3 kg</t>
  </si>
  <si>
    <t xml:space="preserve">₹180 – ₹250</t>
  </si>
  <si>
    <t xml:space="preserve">Cold chain minimum consignment</t>
  </si>
  <si>
    <t xml:space="preserve">Insulin, biologics — ice pack adds ~1.5 kg</t>
  </si>
  <si>
    <t xml:space="preserve">3 kg – 5 kg</t>
  </si>
  <si>
    <t xml:space="preserve">₹250 – ₹380</t>
  </si>
  <si>
    <t xml:space="preserve">Large cold chain orders</t>
  </si>
  <si>
    <t xml:space="preserve">Multiple cold chain items</t>
  </si>
  <si>
    <t xml:space="preserve">5 kg – 10 kg</t>
  </si>
  <si>
    <t xml:space="preserve">₹380 – ₹650</t>
  </si>
  <si>
    <t xml:space="preserve">Bulk / distributor orders</t>
  </si>
  <si>
    <t xml:space="preserve">Pharmacy / B2B orders</t>
  </si>
  <si>
    <t xml:space="preserve">Above 10 kg</t>
  </si>
  <si>
    <t xml:space="preserve">Negotiated rate</t>
  </si>
  <si>
    <t xml:space="preserve">Bulk institutional</t>
  </si>
  <si>
    <t xml:space="preserve">Contact courier for rate</t>
  </si>
  <si>
    <t xml:space="preserve">Cold chain surcharge</t>
  </si>
  <si>
    <t xml:space="preserve">+₹50–₹150 extra</t>
  </si>
  <si>
    <t xml:space="preserve">All cold chain orders regardless of weight</t>
  </si>
  <si>
    <t xml:space="preserve">Ice pack + insulated box cost</t>
  </si>
  <si>
    <t xml:space="preserve">  NOTE: Weights above are estimates. Actual courier charges depend on Shiprocket / Delhivery rate card for your pickup pincode. For cold chain consignments: minimum billable weight = Cold Chain Min. Consignment value set in column O above. System uses: Max(actual order weight, cold chain minimum) for billing estimation.</t>
  </si>
  <si>
    <t xml:space="preserve">  DAWABAG — OPENING INVENTORY</t>
  </si>
  <si>
    <t xml:space="preserve">  Stock on hand at the time of go-live — one row per batch per medicine</t>
  </si>
  <si>
    <t xml:space="preserve">  ★ = Mandatory field (highlighted yellow).   Fill all ★ fields before importing.   Do NOT change column headings.</t>
  </si>
  <si>
    <t xml:space="preserve">★ Medicine Name</t>
  </si>
  <si>
    <t xml:space="preserve">★ Batch Number</t>
  </si>
  <si>
    <t xml:space="preserve">★ Quantity (units/strips)</t>
  </si>
  <si>
    <t xml:space="preserve">★ Expiry Date (MM/YYYY)</t>
  </si>
  <si>
    <t xml:space="preserve">★ Purchase Price per unit (₹)</t>
  </si>
  <si>
    <t xml:space="preserve">Manufacturing Date (MM/YYYY)</t>
  </si>
  <si>
    <t xml:space="preserve">Vendor / Supplier Name</t>
  </si>
  <si>
    <t xml:space="preserve">Invoice Number</t>
  </si>
  <si>
    <t xml:space="preserve">Date of Receipt (DD/MM/YYYY)</t>
  </si>
  <si>
    <t xml:space="preserve">Storage Location / Rack</t>
  </si>
  <si>
    <t xml:space="preserve">Cold Chain Batch? (YES/NO)</t>
  </si>
  <si>
    <t xml:space="preserve">Remarks / Notes</t>
  </si>
  <si>
    <t xml:space="preserve">Must match SKU in Medicine Master</t>
  </si>
  <si>
    <t xml:space="preserve">Auto-reference from SKU (fill manually)</t>
  </si>
  <si>
    <t xml:space="preserve">As printed on the medicine box</t>
  </si>
  <si>
    <t xml:space="preserve">Count actual strips/vials/units in stock</t>
  </si>
  <si>
    <t xml:space="preserve">Format: 03/2026 (Month/Year)</t>
  </si>
  <si>
    <t xml:space="preserve">Your actual purchase cost (for COGS)</t>
  </si>
  <si>
    <t xml:space="preserve">Format: 06/2024</t>
  </si>
  <si>
    <t xml:space="preserve">Name of the supplier / distributor</t>
  </si>
  <si>
    <t xml:space="preserve">Your purchase invoice number</t>
  </si>
  <si>
    <t xml:space="preserve">When did you receive this batch?</t>
  </si>
  <si>
    <t xml:space="preserve">e.g. Rack A-3, Cold Room 1</t>
  </si>
  <si>
    <t xml:space="preserve">YES for insulin, biologics etc.</t>
  </si>
  <si>
    <t xml:space="preserve">Any special notes for this batch</t>
  </si>
  <si>
    <t xml:space="preserve">BT2024-MET-001</t>
  </si>
  <si>
    <t xml:space="preserve">03/2026</t>
  </si>
  <si>
    <t xml:space="preserve">06/2024</t>
  </si>
  <si>
    <t xml:space="preserve">Sunrise Pharma Distributors</t>
  </si>
  <si>
    <t xml:space="preserve">INV-SP-2024-441</t>
  </si>
  <si>
    <t xml:space="preserve">15/01/2025</t>
  </si>
  <si>
    <t xml:space="preserve">Rack B-2</t>
  </si>
  <si>
    <t xml:space="preserve">Opening stock on launch</t>
  </si>
  <si>
    <t xml:space="preserve">BT2024-INS-018</t>
  </si>
  <si>
    <t xml:space="preserve">04/2025</t>
  </si>
  <si>
    <t xml:space="preserve">10/2024</t>
  </si>
  <si>
    <t xml:space="preserve">Apollo Medicals Nashik</t>
  </si>
  <si>
    <t xml:space="preserve">INV-AP-2024-188</t>
  </si>
  <si>
    <t xml:space="preserve">20/01/2025</t>
  </si>
  <si>
    <t xml:space="preserve">Cold Room 1</t>
  </si>
  <si>
    <t xml:space="preserve">Cold chain — expiry alert in 67 days</t>
  </si>
  <si>
    <t xml:space="preserve">BT2024-ATO-022</t>
  </si>
  <si>
    <t xml:space="preserve">01/2027</t>
  </si>
  <si>
    <t xml:space="preserve">09/2024</t>
  </si>
  <si>
    <t xml:space="preserve">INV-SP-2024-398</t>
  </si>
  <si>
    <t xml:space="preserve">10/01/2025</t>
  </si>
  <si>
    <t xml:space="preserve">Rack A-1</t>
  </si>
  <si>
    <t xml:space="preserve">BT2024-VIT-009</t>
  </si>
  <si>
    <t xml:space="preserve">12/2025</t>
  </si>
  <si>
    <t xml:space="preserve">08/2024</t>
  </si>
  <si>
    <t xml:space="preserve">Sun Pharma Depot</t>
  </si>
  <si>
    <t xml:space="preserve">INV-SUN-2024-210</t>
  </si>
  <si>
    <t xml:space="preserve">05/01/2025</t>
  </si>
  <si>
    <t xml:space="preserve">Rack C-4</t>
  </si>
  <si>
    <t xml:space="preserve">BT2024-AMX-033</t>
  </si>
  <si>
    <t xml:space="preserve">06/2026</t>
  </si>
  <si>
    <t xml:space="preserve">11/2024</t>
  </si>
  <si>
    <t xml:space="preserve">INV-SP-2024-512</t>
  </si>
  <si>
    <t xml:space="preserve">22/01/2025</t>
  </si>
  <si>
    <t xml:space="preserve">Rack A-3</t>
  </si>
  <si>
    <t xml:space="preserve">BT2025-PAR-001</t>
  </si>
  <si>
    <t xml:space="preserve">09/2026</t>
  </si>
  <si>
    <t xml:space="preserve">01/2025</t>
  </si>
  <si>
    <t xml:space="preserve">Local Distributor Nashik</t>
  </si>
  <si>
    <t xml:space="preserve">INV-LD-2025-001</t>
  </si>
  <si>
    <t xml:space="preserve">29/01/2025</t>
  </si>
  <si>
    <t xml:space="preserve">Rack D-1</t>
  </si>
  <si>
    <t xml:space="preserve">Fresh stock received Jan 2025</t>
  </si>
  <si>
    <t xml:space="preserve">BT2024-AML-014</t>
  </si>
  <si>
    <t xml:space="preserve">08/2026</t>
  </si>
  <si>
    <t xml:space="preserve">INV-AP-2024-201</t>
  </si>
  <si>
    <t xml:space="preserve">12/01/2025</t>
  </si>
  <si>
    <t xml:space="preserve">Rack B-4</t>
  </si>
  <si>
    <t xml:space="preserve">BT2024-GLI-007</t>
  </si>
  <si>
    <t xml:space="preserve">11/2025</t>
  </si>
  <si>
    <t xml:space="preserve">INV-SP-2024-367</t>
  </si>
  <si>
    <t xml:space="preserve">08/01/2025</t>
  </si>
  <si>
    <t xml:space="preserve">Rack B-3</t>
  </si>
  <si>
    <t xml:space="preserve">Near expiry alert needed</t>
  </si>
  <si>
    <t xml:space="preserve">BT2024-PAN-019</t>
  </si>
  <si>
    <t xml:space="preserve">05/2026</t>
  </si>
  <si>
    <t xml:space="preserve">INV-AP-2024-219</t>
  </si>
  <si>
    <t xml:space="preserve">18/01/2025</t>
  </si>
  <si>
    <t xml:space="preserve">Rack A-5</t>
  </si>
  <si>
    <t xml:space="preserve">BT2024-CET-011</t>
  </si>
  <si>
    <t xml:space="preserve">07/2026</t>
  </si>
  <si>
    <t xml:space="preserve">INV-LD-2024-089</t>
  </si>
  <si>
    <t xml:space="preserve">14/01/2025</t>
  </si>
  <si>
    <t xml:space="preserve">Rack C-2</t>
  </si>
  <si>
    <t xml:space="preserve">TOTAL OPENING STOCK VALUE (₹)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</si>
</sst>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.00"/>
    <numFmt numFmtId="166" formatCode="#,##0&quot; g&quot;"/>
    <numFmt numFmtId="167" formatCode="#,##0.000&quot; kg&quot;"/>
    <numFmt numFmtId="168" formatCode="#,##0.0&quot; kg&quot;"/>
    <numFmt numFmtId="169" formatCode="#,##0.0&quot; kg min&quot;"/>
    <numFmt numFmtId="170" formatCode="\₹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sz val="10"/>
      <color rgb="FFAAAAAA"/>
      <name val="Arial"/>
      <family val="0"/>
      <charset val="1"/>
    </font>
    <font>
      <sz val="10"/>
      <color rgb="FF004D40"/>
      <name val="Arial"/>
      <family val="0"/>
      <charset val="1"/>
    </font>
    <font>
      <b val="true"/>
      <sz val="10"/>
      <color rgb="FF126840"/>
      <name val="Arial"/>
      <family val="0"/>
      <charset val="1"/>
    </font>
    <font>
      <b val="true"/>
      <sz val="10"/>
      <color rgb="FF004D40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56404"/>
      <name val="Arial"/>
      <family val="0"/>
      <charset val="1"/>
    </font>
    <font>
      <b val="true"/>
      <sz val="10"/>
      <color rgb="FF1A8856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A8856"/>
        <bgColor rgb="FF00838F"/>
      </patternFill>
    </fill>
    <fill>
      <patternFill patternType="solid">
        <fgColor rgb="FFEDFAF4"/>
        <bgColor rgb="FFEEFAF4"/>
      </patternFill>
    </fill>
    <fill>
      <patternFill patternType="solid">
        <fgColor rgb="FFFFF3CD"/>
        <bgColor rgb="FFFAEEDA"/>
      </patternFill>
    </fill>
    <fill>
      <patternFill patternType="solid">
        <fgColor rgb="FFFFFFFF"/>
        <bgColor rgb="FFFAFCFF"/>
      </patternFill>
    </fill>
    <fill>
      <patternFill patternType="solid">
        <fgColor rgb="FF2A6645"/>
        <bgColor rgb="FF126840"/>
      </patternFill>
    </fill>
    <fill>
      <patternFill patternType="solid">
        <fgColor rgb="FF0C447C"/>
        <bgColor rgb="FF004D40"/>
      </patternFill>
    </fill>
    <fill>
      <patternFill patternType="solid">
        <fgColor rgb="FF3C3489"/>
        <bgColor rgb="FF444441"/>
      </patternFill>
    </fill>
    <fill>
      <patternFill patternType="solid">
        <fgColor rgb="FF633806"/>
        <bgColor rgb="FF444441"/>
      </patternFill>
    </fill>
    <fill>
      <patternFill patternType="solid">
        <fgColor rgb="FF00838F"/>
        <bgColor rgb="FF1A8856"/>
      </patternFill>
    </fill>
    <fill>
      <patternFill patternType="solid">
        <fgColor rgb="FF004D40"/>
        <bgColor rgb="FF0C447C"/>
      </patternFill>
    </fill>
    <fill>
      <patternFill patternType="solid">
        <fgColor rgb="FF126840"/>
        <bgColor rgb="FF2A6645"/>
      </patternFill>
    </fill>
    <fill>
      <patternFill patternType="solid">
        <fgColor rgb="FFE6F1FB"/>
        <bgColor rgb="FFE0F2F1"/>
      </patternFill>
    </fill>
    <fill>
      <patternFill patternType="solid">
        <fgColor rgb="FFEEEDFE"/>
        <bgColor rgb="FFE6F1FB"/>
      </patternFill>
    </fill>
    <fill>
      <patternFill patternType="solid">
        <fgColor rgb="FFFAEEDA"/>
        <bgColor rgb="FFFFF3CD"/>
      </patternFill>
    </fill>
    <fill>
      <patternFill patternType="solid">
        <fgColor rgb="FFE0F7FA"/>
        <bgColor rgb="FFE0F2F1"/>
      </patternFill>
    </fill>
    <fill>
      <patternFill patternType="solid">
        <fgColor rgb="FFE0F2F1"/>
        <bgColor rgb="FFE6F1FB"/>
      </patternFill>
    </fill>
    <fill>
      <patternFill patternType="solid">
        <fgColor rgb="FFF7F9F7"/>
        <bgColor rgb="FFFAFCFF"/>
      </patternFill>
    </fill>
    <fill>
      <patternFill patternType="solid">
        <fgColor rgb="FFFFF9E6"/>
        <bgColor rgb="FFF7F9F7"/>
      </patternFill>
    </fill>
    <fill>
      <patternFill patternType="solid">
        <fgColor rgb="FFF0FAF8"/>
        <bgColor rgb="FFF0FAF5"/>
      </patternFill>
    </fill>
    <fill>
      <patternFill patternType="solid">
        <fgColor rgb="FFEEFAF4"/>
        <bgColor rgb="FFEDFAF4"/>
      </patternFill>
    </fill>
    <fill>
      <patternFill patternType="solid">
        <fgColor rgb="FFFAFCFF"/>
        <bgColor rgb="FFFFFFFF"/>
      </patternFill>
    </fill>
    <fill>
      <patternFill patternType="solid">
        <fgColor rgb="FFF0FAF5"/>
        <bgColor rgb="FFF0F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AF5"/>
      <rgbColor rgb="FFFF00FF"/>
      <rgbColor rgb="FF00FFFF"/>
      <rgbColor rgb="FF800000"/>
      <rgbColor rgb="FF126840"/>
      <rgbColor rgb="FF000080"/>
      <rgbColor rgb="FF856404"/>
      <rgbColor rgb="FF800080"/>
      <rgbColor rgb="FF00838F"/>
      <rgbColor rgb="FFCCCCCC"/>
      <rgbColor rgb="FF888780"/>
      <rgbColor rgb="FFFAFCFF"/>
      <rgbColor rgb="FF993366"/>
      <rgbColor rgb="FFFFF3CD"/>
      <rgbColor rgb="FFE0F7FA"/>
      <rgbColor rgb="FF660066"/>
      <rgbColor rgb="FFFF8080"/>
      <rgbColor rgb="FF0066CC"/>
      <rgbColor rgb="FFEEEDFE"/>
      <rgbColor rgb="FF000080"/>
      <rgbColor rgb="FFFF00FF"/>
      <rgbColor rgb="FFF0FAF8"/>
      <rgbColor rgb="FF00FFFF"/>
      <rgbColor rgb="FF800080"/>
      <rgbColor rgb="FF800000"/>
      <rgbColor rgb="FF2A6645"/>
      <rgbColor rgb="FF0000FF"/>
      <rgbColor rgb="FF00CCFF"/>
      <rgbColor rgb="FFE0F2F1"/>
      <rgbColor rgb="FFEDFAF4"/>
      <rgbColor rgb="FFFAEEDA"/>
      <rgbColor rgb="FFE6F1FB"/>
      <rgbColor rgb="FFF7F9F7"/>
      <rgbColor rgb="FFEEFAF4"/>
      <rgbColor rgb="FFFFF9E6"/>
      <rgbColor rgb="FF3366FF"/>
      <rgbColor rgb="FF33CCCC"/>
      <rgbColor rgb="FF99CC00"/>
      <rgbColor rgb="FFFFD700"/>
      <rgbColor rgb="FFFF9900"/>
      <rgbColor rgb="FFFF6600"/>
      <rgbColor rgb="FF5F5E5A"/>
      <rgbColor rgb="FFAAAAAA"/>
      <rgbColor rgb="FF0C447C"/>
      <rgbColor rgb="FF1A8856"/>
      <rgbColor rgb="FF004D40"/>
      <rgbColor rgb="FF633806"/>
      <rgbColor rgb="FF993300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6" min="5" style="1" width="18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10" min="9" style="1" width="18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5" min="14" style="1" width="22"/>
    <col collapsed="false" customWidth="true" hidden="false" outlineLevel="0" max="19" min="16" style="1" width="2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36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7" t="s">
        <v>16</v>
      </c>
      <c r="N5" s="8" t="s">
        <v>17</v>
      </c>
      <c r="O5" s="9" t="s">
        <v>18</v>
      </c>
      <c r="P5" s="10" t="s">
        <v>19</v>
      </c>
      <c r="Q5" s="8" t="s">
        <v>20</v>
      </c>
      <c r="R5" s="9" t="s">
        <v>21</v>
      </c>
      <c r="S5" s="6" t="s">
        <v>22</v>
      </c>
      <c r="T5" s="6" t="s">
        <v>23</v>
      </c>
      <c r="U5" s="11" t="s">
        <v>24</v>
      </c>
      <c r="V5" s="12" t="s">
        <v>25</v>
      </c>
      <c r="W5" s="13" t="s">
        <v>26</v>
      </c>
      <c r="X5" s="11" t="s">
        <v>27</v>
      </c>
      <c r="Y5" s="14" t="s">
        <v>28</v>
      </c>
      <c r="Z5" s="7" t="s">
        <v>29</v>
      </c>
      <c r="AA5" s="7" t="s">
        <v>30</v>
      </c>
      <c r="AB5" s="7" t="s">
        <v>31</v>
      </c>
      <c r="AC5" s="7" t="s">
        <v>32</v>
      </c>
      <c r="AD5" s="7" t="s">
        <v>33</v>
      </c>
    </row>
    <row r="6" customFormat="false" ht="19.5" hidden="false" customHeight="true" outlineLevel="0" collapsed="false">
      <c r="A6" s="15" t="s">
        <v>34</v>
      </c>
      <c r="B6" s="15" t="s">
        <v>35</v>
      </c>
      <c r="C6" s="15" t="s">
        <v>36</v>
      </c>
      <c r="D6" s="15" t="s">
        <v>37</v>
      </c>
      <c r="E6" s="15" t="s">
        <v>38</v>
      </c>
      <c r="F6" s="15" t="s">
        <v>39</v>
      </c>
      <c r="G6" s="15" t="s">
        <v>40</v>
      </c>
      <c r="H6" s="15" t="s">
        <v>41</v>
      </c>
      <c r="I6" s="15" t="s">
        <v>42</v>
      </c>
      <c r="J6" s="15" t="s">
        <v>43</v>
      </c>
      <c r="K6" s="15" t="s">
        <v>44</v>
      </c>
      <c r="L6" s="15" t="s">
        <v>45</v>
      </c>
      <c r="M6" s="15" t="s">
        <v>46</v>
      </c>
      <c r="N6" s="16" t="s">
        <v>47</v>
      </c>
      <c r="O6" s="17" t="s">
        <v>48</v>
      </c>
      <c r="P6" s="18" t="s">
        <v>49</v>
      </c>
      <c r="Q6" s="16" t="s">
        <v>50</v>
      </c>
      <c r="R6" s="17" t="s">
        <v>51</v>
      </c>
      <c r="S6" s="15" t="s">
        <v>52</v>
      </c>
      <c r="T6" s="15" t="s">
        <v>53</v>
      </c>
      <c r="U6" s="19" t="s">
        <v>54</v>
      </c>
      <c r="V6" s="16" t="s">
        <v>55</v>
      </c>
      <c r="W6" s="20" t="s">
        <v>56</v>
      </c>
      <c r="X6" s="19" t="s">
        <v>57</v>
      </c>
      <c r="Y6" s="15" t="s">
        <v>58</v>
      </c>
      <c r="Z6" s="15" t="s">
        <v>59</v>
      </c>
      <c r="AA6" s="15" t="s">
        <v>60</v>
      </c>
      <c r="AB6" s="15" t="s">
        <v>61</v>
      </c>
      <c r="AC6" s="15" t="s">
        <v>62</v>
      </c>
      <c r="AD6" s="15" t="s">
        <v>63</v>
      </c>
    </row>
    <row r="7" customFormat="false" ht="19.5" hidden="false" customHeight="true" outlineLevel="0" collapsed="false">
      <c r="A7" s="21" t="s">
        <v>64</v>
      </c>
      <c r="B7" s="21" t="s">
        <v>65</v>
      </c>
      <c r="C7" s="21" t="s">
        <v>66</v>
      </c>
      <c r="D7" s="21" t="s">
        <v>67</v>
      </c>
      <c r="E7" s="21" t="s">
        <v>68</v>
      </c>
      <c r="F7" s="21" t="s">
        <v>69</v>
      </c>
      <c r="G7" s="21" t="s">
        <v>70</v>
      </c>
      <c r="H7" s="21" t="s">
        <v>71</v>
      </c>
      <c r="I7" s="21" t="n">
        <v>50</v>
      </c>
      <c r="J7" s="21" t="n">
        <v>42.5</v>
      </c>
      <c r="K7" s="21" t="n">
        <v>12</v>
      </c>
      <c r="L7" s="21" t="s">
        <v>72</v>
      </c>
      <c r="M7" s="21" t="n">
        <v>3</v>
      </c>
      <c r="N7" s="22" t="n">
        <f aca="false">IFERROR(I7*0.8,0)</f>
        <v>40</v>
      </c>
      <c r="O7" s="23" t="n">
        <f aca="false">IFERROR(I7*0.75,0)</f>
        <v>37.5</v>
      </c>
      <c r="P7" s="24" t="n">
        <f aca="false">IFERROR(I7*0.86,0)</f>
        <v>43</v>
      </c>
      <c r="Q7" s="25" t="n">
        <v>1</v>
      </c>
      <c r="R7" s="26" t="n">
        <v>10</v>
      </c>
      <c r="S7" s="27" t="n">
        <v>10</v>
      </c>
      <c r="T7" s="28" t="n">
        <v>35</v>
      </c>
      <c r="U7" s="29" t="s">
        <v>73</v>
      </c>
      <c r="V7" s="30" t="n">
        <f aca="false">IFERROR(IF(AND(ISNUMBER(N7),ISNUMBER(M7),N7&gt;0,M7&gt;0),(N7*M7)/1000,0),0)</f>
        <v>0.12</v>
      </c>
      <c r="W7" s="31" t="s">
        <v>74</v>
      </c>
      <c r="X7" s="32" t="n">
        <f aca="false">IFERROR(IF(ISBLANK(Q7),0,IF(ISNUMBER(SEARCH("Refrigerated",Q7)),2,IF(ISNUMBER(SEARCH("Frozen",Q7)),3.5,0))),0)</f>
        <v>0</v>
      </c>
      <c r="Y7" s="33" t="n">
        <f aca="false">IFERROR(P7+R7,0)</f>
        <v>53</v>
      </c>
      <c r="Z7" s="21" t="s">
        <v>75</v>
      </c>
      <c r="AA7" s="21" t="s">
        <v>76</v>
      </c>
      <c r="AB7" s="21" t="s">
        <v>77</v>
      </c>
      <c r="AC7" s="21" t="s">
        <v>78</v>
      </c>
      <c r="AD7" s="21" t="s">
        <v>79</v>
      </c>
    </row>
    <row r="8" customFormat="false" ht="19.5" hidden="false" customHeight="true" outlineLevel="0" collapsed="false">
      <c r="A8" s="34" t="s">
        <v>80</v>
      </c>
      <c r="B8" s="34" t="s">
        <v>81</v>
      </c>
      <c r="C8" s="34" t="s">
        <v>82</v>
      </c>
      <c r="D8" s="34" t="s">
        <v>67</v>
      </c>
      <c r="E8" s="34" t="s">
        <v>68</v>
      </c>
      <c r="F8" s="34" t="s">
        <v>83</v>
      </c>
      <c r="G8" s="34" t="s">
        <v>84</v>
      </c>
      <c r="H8" s="34" t="s">
        <v>85</v>
      </c>
      <c r="I8" s="34" t="n">
        <v>720</v>
      </c>
      <c r="J8" s="34" t="n">
        <v>680</v>
      </c>
      <c r="K8" s="34" t="n">
        <v>12</v>
      </c>
      <c r="L8" s="34" t="s">
        <v>72</v>
      </c>
      <c r="M8" s="34" t="n">
        <v>2</v>
      </c>
      <c r="N8" s="35" t="n">
        <f aca="false">IFERROR(I8*0.85,0)</f>
        <v>612</v>
      </c>
      <c r="O8" s="36" t="n">
        <f aca="false">IFERROR(I8*0.8,0)</f>
        <v>576</v>
      </c>
      <c r="P8" s="37" t="n">
        <f aca="false">IFERROR(I8*0.9,0)</f>
        <v>648</v>
      </c>
      <c r="Q8" s="38" t="n">
        <v>1</v>
      </c>
      <c r="R8" s="38" t="n">
        <v>5</v>
      </c>
      <c r="S8" s="38" t="n">
        <v>5</v>
      </c>
      <c r="T8" s="28" t="n">
        <v>32</v>
      </c>
      <c r="U8" s="39" t="n">
        <v>2</v>
      </c>
      <c r="V8" s="30" t="n">
        <f aca="false">IFERROR(IF(AND(ISNUMBER(N8),ISNUMBER(M8),N8&gt;0,M8&gt;0),(N8*M8)/1000,0),0)</f>
        <v>1.224</v>
      </c>
      <c r="W8" s="40" t="s">
        <v>86</v>
      </c>
      <c r="X8" s="41" t="n">
        <f aca="false">IFERROR(IF(ISBLANK(Q8),0,IF(ISNUMBER(SEARCH("Refrigerated",Q8)),2,IF(ISNUMBER(SEARCH("Frozen",Q8)),3.5,0))),0)</f>
        <v>0</v>
      </c>
      <c r="Y8" s="42" t="n">
        <f aca="false">IFERROR(P8+R8,0)</f>
        <v>653</v>
      </c>
      <c r="Z8" s="34" t="s">
        <v>79</v>
      </c>
      <c r="AA8" s="34" t="s">
        <v>87</v>
      </c>
      <c r="AB8" s="34" t="s">
        <v>88</v>
      </c>
      <c r="AC8" s="34" t="s">
        <v>89</v>
      </c>
      <c r="AD8" s="34" t="s">
        <v>79</v>
      </c>
    </row>
    <row r="9" customFormat="false" ht="19.5" hidden="false" customHeight="true" outlineLevel="0" collapsed="false">
      <c r="A9" s="21" t="s">
        <v>90</v>
      </c>
      <c r="B9" s="21" t="s">
        <v>91</v>
      </c>
      <c r="C9" s="21" t="s">
        <v>92</v>
      </c>
      <c r="D9" s="21" t="s">
        <v>93</v>
      </c>
      <c r="E9" s="21" t="s">
        <v>68</v>
      </c>
      <c r="F9" s="21" t="s">
        <v>69</v>
      </c>
      <c r="G9" s="21" t="s">
        <v>94</v>
      </c>
      <c r="H9" s="21" t="s">
        <v>95</v>
      </c>
      <c r="I9" s="21" t="n">
        <v>85</v>
      </c>
      <c r="J9" s="21" t="n">
        <v>68</v>
      </c>
      <c r="K9" s="21" t="n">
        <v>12</v>
      </c>
      <c r="L9" s="21" t="s">
        <v>72</v>
      </c>
      <c r="M9" s="21" t="n">
        <v>3</v>
      </c>
      <c r="N9" s="22" t="n">
        <f aca="false">IFERROR(I9*0.82,0)</f>
        <v>69.7</v>
      </c>
      <c r="O9" s="23" t="n">
        <f aca="false">IFERROR(I9*0.77,0)</f>
        <v>65.45</v>
      </c>
      <c r="P9" s="24" t="n">
        <f aca="false">IFERROR(I9*0.88,0)</f>
        <v>74.8</v>
      </c>
      <c r="Q9" s="25" t="n">
        <v>1</v>
      </c>
      <c r="R9" s="26" t="n">
        <v>10</v>
      </c>
      <c r="S9" s="27" t="n">
        <v>10</v>
      </c>
      <c r="T9" s="28" t="n">
        <v>30</v>
      </c>
      <c r="U9" s="29" t="s">
        <v>73</v>
      </c>
      <c r="V9" s="30" t="n">
        <f aca="false">IFERROR(IF(AND(ISNUMBER(N9),ISNUMBER(M9),N9&gt;0,M9&gt;0),(N9*M9)/1000,0),0)</f>
        <v>0.2091</v>
      </c>
      <c r="W9" s="31" t="s">
        <v>74</v>
      </c>
      <c r="X9" s="32" t="n">
        <f aca="false">IFERROR(IF(ISBLANK(Q9),0,IF(ISNUMBER(SEARCH("Refrigerated",Q9)),2,IF(ISNUMBER(SEARCH("Frozen",Q9)),3.5,0))),0)</f>
        <v>0</v>
      </c>
      <c r="Y9" s="33" t="n">
        <f aca="false">IFERROR(P9+R9,0)</f>
        <v>84.8</v>
      </c>
      <c r="Z9" s="21" t="s">
        <v>75</v>
      </c>
      <c r="AA9" s="21" t="s">
        <v>76</v>
      </c>
      <c r="AB9" s="21" t="s">
        <v>96</v>
      </c>
      <c r="AC9" s="21" t="s">
        <v>97</v>
      </c>
      <c r="AD9" s="21" t="s">
        <v>79</v>
      </c>
    </row>
    <row r="10" customFormat="false" ht="19.5" hidden="false" customHeight="true" outlineLevel="0" collapsed="false">
      <c r="A10" s="34" t="s">
        <v>98</v>
      </c>
      <c r="B10" s="34" t="s">
        <v>99</v>
      </c>
      <c r="C10" s="34" t="s">
        <v>100</v>
      </c>
      <c r="D10" s="34" t="s">
        <v>101</v>
      </c>
      <c r="E10" s="34" t="s">
        <v>102</v>
      </c>
      <c r="F10" s="34" t="s">
        <v>103</v>
      </c>
      <c r="G10" s="34" t="s">
        <v>104</v>
      </c>
      <c r="H10" s="34" t="s">
        <v>105</v>
      </c>
      <c r="I10" s="34" t="n">
        <v>110</v>
      </c>
      <c r="J10" s="34" t="n">
        <v>95</v>
      </c>
      <c r="K10" s="34" t="n">
        <v>5</v>
      </c>
      <c r="L10" s="34" t="s">
        <v>106</v>
      </c>
      <c r="M10" s="34" t="n">
        <v>3</v>
      </c>
      <c r="N10" s="35" t="n">
        <f aca="false">IFERROR(I10*0.85,0)</f>
        <v>93.5</v>
      </c>
      <c r="O10" s="36" t="n">
        <f aca="false">IFERROR(I10*0.8,0)</f>
        <v>88</v>
      </c>
      <c r="P10" s="37" t="n">
        <f aca="false">IFERROR(I10*0.9,0)</f>
        <v>99</v>
      </c>
      <c r="Q10" s="38" t="n">
        <v>1</v>
      </c>
      <c r="R10" s="38" t="n">
        <v>10</v>
      </c>
      <c r="S10" s="38" t="n">
        <v>20</v>
      </c>
      <c r="T10" s="28" t="n">
        <v>20</v>
      </c>
      <c r="U10" s="29" t="s">
        <v>73</v>
      </c>
      <c r="V10" s="30" t="n">
        <f aca="false">IFERROR(IF(AND(ISNUMBER(N10),ISNUMBER(M10),N10&gt;0,M10&gt;0),(N10*M10)/1000,0),0)</f>
        <v>0.2805</v>
      </c>
      <c r="W10" s="31" t="s">
        <v>107</v>
      </c>
      <c r="X10" s="43" t="n">
        <f aca="false">IFERROR(IF(ISBLANK(Q10),0,IF(ISNUMBER(SEARCH("Refrigerated",Q10)),2,IF(ISNUMBER(SEARCH("Frozen",Q10)),3.5,0))),0)</f>
        <v>0</v>
      </c>
      <c r="Y10" s="44" t="n">
        <f aca="false">IFERROR(P10+R10,0)</f>
        <v>109</v>
      </c>
      <c r="Z10" s="34" t="s">
        <v>75</v>
      </c>
      <c r="AA10" s="34" t="s">
        <v>108</v>
      </c>
      <c r="AB10" s="34" t="s">
        <v>109</v>
      </c>
      <c r="AC10" s="34" t="s">
        <v>110</v>
      </c>
      <c r="AD10" s="34" t="s">
        <v>79</v>
      </c>
    </row>
    <row r="11" customFormat="false" ht="19.5" hidden="false" customHeight="true" outlineLevel="0" collapsed="false">
      <c r="A11" s="21" t="s">
        <v>111</v>
      </c>
      <c r="B11" s="21" t="s">
        <v>112</v>
      </c>
      <c r="C11" s="21" t="s">
        <v>113</v>
      </c>
      <c r="D11" s="21" t="s">
        <v>114</v>
      </c>
      <c r="E11" s="21" t="s">
        <v>68</v>
      </c>
      <c r="F11" s="21" t="s">
        <v>103</v>
      </c>
      <c r="G11" s="21" t="s">
        <v>115</v>
      </c>
      <c r="H11" s="21" t="s">
        <v>116</v>
      </c>
      <c r="I11" s="21" t="n">
        <v>65</v>
      </c>
      <c r="J11" s="21" t="n">
        <v>55</v>
      </c>
      <c r="K11" s="21" t="n">
        <v>12</v>
      </c>
      <c r="L11" s="21" t="s">
        <v>117</v>
      </c>
      <c r="M11" s="21" t="n">
        <v>2</v>
      </c>
      <c r="N11" s="22" t="n">
        <f aca="false">IFERROR(I11*0.8,0)</f>
        <v>52</v>
      </c>
      <c r="O11" s="23" t="n">
        <f aca="false">IFERROR(I11*0.75,0)</f>
        <v>48.75</v>
      </c>
      <c r="P11" s="24" t="n">
        <f aca="false">IFERROR(I11*0.86,0)</f>
        <v>55.9</v>
      </c>
      <c r="Q11" s="25" t="n">
        <v>1</v>
      </c>
      <c r="R11" s="26" t="n">
        <v>10</v>
      </c>
      <c r="S11" s="27" t="n">
        <v>15</v>
      </c>
      <c r="T11" s="28" t="n">
        <v>22</v>
      </c>
      <c r="U11" s="29" t="s">
        <v>73</v>
      </c>
      <c r="V11" s="30" t="n">
        <f aca="false">IFERROR(IF(AND(ISNUMBER(N11),ISNUMBER(M11),N11&gt;0,M11&gt;0),(N11*M11)/1000,0),0)</f>
        <v>0.104</v>
      </c>
      <c r="W11" s="31" t="s">
        <v>74</v>
      </c>
      <c r="X11" s="32" t="n">
        <f aca="false">IFERROR(IF(ISBLANK(Q11),0,IF(ISNUMBER(SEARCH("Refrigerated",Q11)),2,IF(ISNUMBER(SEARCH("Frozen",Q11)),3.5,0))),0)</f>
        <v>0</v>
      </c>
      <c r="Y11" s="33" t="n">
        <f aca="false">IFERROR(P11+R11,0)</f>
        <v>65.9</v>
      </c>
      <c r="Z11" s="21" t="s">
        <v>75</v>
      </c>
      <c r="AA11" s="21" t="s">
        <v>118</v>
      </c>
      <c r="AB11" s="21" t="s">
        <v>119</v>
      </c>
      <c r="AC11" s="21" t="s">
        <v>120</v>
      </c>
      <c r="AD11" s="21" t="s">
        <v>79</v>
      </c>
    </row>
    <row r="12" customFormat="false" ht="19.5" hidden="false" customHeight="true" outlineLevel="0" collapsed="false">
      <c r="A12" s="34" t="s">
        <v>121</v>
      </c>
      <c r="B12" s="34" t="s">
        <v>122</v>
      </c>
      <c r="C12" s="34" t="s">
        <v>123</v>
      </c>
      <c r="D12" s="34" t="s">
        <v>124</v>
      </c>
      <c r="E12" s="34" t="s">
        <v>102</v>
      </c>
      <c r="F12" s="34" t="s">
        <v>69</v>
      </c>
      <c r="G12" s="34" t="s">
        <v>70</v>
      </c>
      <c r="H12" s="34" t="s">
        <v>125</v>
      </c>
      <c r="I12" s="34" t="n">
        <v>25</v>
      </c>
      <c r="J12" s="34" t="n">
        <v>20</v>
      </c>
      <c r="K12" s="34" t="n">
        <v>12</v>
      </c>
      <c r="L12" s="34" t="s">
        <v>72</v>
      </c>
      <c r="M12" s="34" t="n">
        <v>5</v>
      </c>
      <c r="N12" s="35" t="n">
        <f aca="false">IFERROR(I12*0.82,0)</f>
        <v>20.5</v>
      </c>
      <c r="O12" s="36" t="n">
        <f aca="false">IFERROR(I12*0.77,0)</f>
        <v>19.25</v>
      </c>
      <c r="P12" s="37" t="n">
        <f aca="false">IFERROR(I12*0.88,0)</f>
        <v>22</v>
      </c>
      <c r="Q12" s="38" t="n">
        <v>1</v>
      </c>
      <c r="R12" s="38" t="n">
        <v>10</v>
      </c>
      <c r="S12" s="38" t="n">
        <v>30</v>
      </c>
      <c r="T12" s="28" t="n">
        <v>28</v>
      </c>
      <c r="U12" s="29" t="s">
        <v>73</v>
      </c>
      <c r="V12" s="30" t="n">
        <f aca="false">IFERROR(IF(AND(ISNUMBER(N12),ISNUMBER(M12),N12&gt;0,M12&gt;0),(N12*M12)/1000,0),0)</f>
        <v>0.1025</v>
      </c>
      <c r="W12" s="31" t="s">
        <v>74</v>
      </c>
      <c r="X12" s="43" t="n">
        <f aca="false">IFERROR(IF(ISBLANK(Q12),0,IF(ISNUMBER(SEARCH("Refrigerated",Q12)),2,IF(ISNUMBER(SEARCH("Frozen",Q12)),3.5,0))),0)</f>
        <v>0</v>
      </c>
      <c r="Y12" s="44" t="n">
        <f aca="false">IFERROR(P12+R12,0)</f>
        <v>32</v>
      </c>
      <c r="Z12" s="34" t="s">
        <v>75</v>
      </c>
      <c r="AA12" s="34" t="s">
        <v>76</v>
      </c>
      <c r="AB12" s="34" t="s">
        <v>126</v>
      </c>
      <c r="AC12" s="34" t="s">
        <v>127</v>
      </c>
      <c r="AD12" s="34" t="s">
        <v>79</v>
      </c>
    </row>
    <row r="13" customFormat="false" ht="19.5" hidden="false" customHeight="true" outlineLevel="0" collapsed="false">
      <c r="A13" s="21" t="s">
        <v>128</v>
      </c>
      <c r="B13" s="21" t="s">
        <v>129</v>
      </c>
      <c r="C13" s="21" t="s">
        <v>130</v>
      </c>
      <c r="D13" s="21" t="s">
        <v>93</v>
      </c>
      <c r="E13" s="21" t="s">
        <v>68</v>
      </c>
      <c r="F13" s="21" t="s">
        <v>69</v>
      </c>
      <c r="G13" s="21" t="s">
        <v>131</v>
      </c>
      <c r="H13" s="21" t="s">
        <v>132</v>
      </c>
      <c r="I13" s="21" t="n">
        <v>45</v>
      </c>
      <c r="J13" s="21" t="n">
        <v>38</v>
      </c>
      <c r="K13" s="21" t="n">
        <v>12</v>
      </c>
      <c r="L13" s="21" t="s">
        <v>72</v>
      </c>
      <c r="M13" s="21" t="n">
        <v>3</v>
      </c>
      <c r="N13" s="22" t="n">
        <f aca="false">IFERROR(I13*0.82,0)</f>
        <v>36.9</v>
      </c>
      <c r="O13" s="23" t="n">
        <f aca="false">IFERROR(I13*0.77,0)</f>
        <v>34.65</v>
      </c>
      <c r="P13" s="24" t="n">
        <f aca="false">IFERROR(I13*0.88,0)</f>
        <v>39.6</v>
      </c>
      <c r="Q13" s="25" t="n">
        <v>1</v>
      </c>
      <c r="R13" s="26" t="n">
        <v>10</v>
      </c>
      <c r="S13" s="27" t="n">
        <v>10</v>
      </c>
      <c r="T13" s="28" t="n">
        <v>30</v>
      </c>
      <c r="U13" s="29" t="s">
        <v>73</v>
      </c>
      <c r="V13" s="30" t="n">
        <f aca="false">IFERROR(IF(AND(ISNUMBER(N13),ISNUMBER(M13),N13&gt;0,M13&gt;0),(N13*M13)/1000,0),0)</f>
        <v>0.1107</v>
      </c>
      <c r="W13" s="31" t="s">
        <v>74</v>
      </c>
      <c r="X13" s="32" t="n">
        <f aca="false">IFERROR(IF(ISBLANK(Q13),0,IF(ISNUMBER(SEARCH("Refrigerated",Q13)),2,IF(ISNUMBER(SEARCH("Frozen",Q13)),3.5,0))),0)</f>
        <v>0</v>
      </c>
      <c r="Y13" s="33" t="n">
        <f aca="false">IFERROR(P13+R13,0)</f>
        <v>49.6</v>
      </c>
      <c r="Z13" s="21" t="s">
        <v>75</v>
      </c>
      <c r="AA13" s="21" t="s">
        <v>76</v>
      </c>
      <c r="AB13" s="21" t="s">
        <v>133</v>
      </c>
      <c r="AC13" s="21" t="s">
        <v>134</v>
      </c>
      <c r="AD13" s="21" t="s">
        <v>79</v>
      </c>
    </row>
    <row r="14" customFormat="false" ht="19.5" hidden="false" customHeight="true" outlineLevel="0" collapsed="false">
      <c r="A14" s="34" t="s">
        <v>135</v>
      </c>
      <c r="B14" s="34" t="s">
        <v>136</v>
      </c>
      <c r="C14" s="34" t="s">
        <v>137</v>
      </c>
      <c r="D14" s="34" t="s">
        <v>114</v>
      </c>
      <c r="E14" s="34" t="s">
        <v>68</v>
      </c>
      <c r="F14" s="34" t="s">
        <v>69</v>
      </c>
      <c r="G14" s="34" t="s">
        <v>138</v>
      </c>
      <c r="H14" s="34" t="s">
        <v>116</v>
      </c>
      <c r="I14" s="34" t="n">
        <v>95</v>
      </c>
      <c r="J14" s="34" t="n">
        <v>80</v>
      </c>
      <c r="K14" s="34" t="n">
        <v>12</v>
      </c>
      <c r="L14" s="34" t="s">
        <v>117</v>
      </c>
      <c r="M14" s="34" t="n">
        <v>1</v>
      </c>
      <c r="N14" s="35" t="n">
        <f aca="false">IFERROR(I14*0.8,0)</f>
        <v>76</v>
      </c>
      <c r="O14" s="36" t="n">
        <f aca="false">IFERROR(I14*0.75,0)</f>
        <v>71.25</v>
      </c>
      <c r="P14" s="37" t="n">
        <f aca="false">IFERROR(I14*0.86,0)</f>
        <v>81.7</v>
      </c>
      <c r="Q14" s="38" t="n">
        <v>1</v>
      </c>
      <c r="R14" s="38" t="n">
        <v>10</v>
      </c>
      <c r="S14" s="38" t="n">
        <v>10</v>
      </c>
      <c r="T14" s="28" t="n">
        <v>15</v>
      </c>
      <c r="U14" s="29" t="s">
        <v>73</v>
      </c>
      <c r="V14" s="30" t="n">
        <f aca="false">IFERROR(IF(AND(ISNUMBER(N14),ISNUMBER(M14),N14&gt;0,M14&gt;0),(N14*M14)/1000,0),0)</f>
        <v>0.076</v>
      </c>
      <c r="W14" s="31" t="s">
        <v>74</v>
      </c>
      <c r="X14" s="43" t="n">
        <f aca="false">IFERROR(IF(ISBLANK(Q14),0,IF(ISNUMBER(SEARCH("Refrigerated",Q14)),2,IF(ISNUMBER(SEARCH("Frozen",Q14)),3.5,0))),0)</f>
        <v>0</v>
      </c>
      <c r="Y14" s="44" t="n">
        <f aca="false">IFERROR(P14+R14,0)</f>
        <v>91.7</v>
      </c>
      <c r="Z14" s="34" t="s">
        <v>75</v>
      </c>
      <c r="AA14" s="34" t="s">
        <v>76</v>
      </c>
      <c r="AB14" s="34" t="s">
        <v>139</v>
      </c>
      <c r="AC14" s="34" t="s">
        <v>140</v>
      </c>
      <c r="AD14" s="34" t="s">
        <v>79</v>
      </c>
    </row>
    <row r="15" customFormat="false" ht="19.5" hidden="false" customHeight="true" outlineLevel="0" collapsed="false">
      <c r="A15" s="21" t="s">
        <v>141</v>
      </c>
      <c r="B15" s="21" t="s">
        <v>142</v>
      </c>
      <c r="C15" s="21" t="s">
        <v>143</v>
      </c>
      <c r="D15" s="21" t="s">
        <v>67</v>
      </c>
      <c r="E15" s="21" t="s">
        <v>68</v>
      </c>
      <c r="F15" s="21" t="s">
        <v>69</v>
      </c>
      <c r="G15" s="21" t="s">
        <v>144</v>
      </c>
      <c r="H15" s="21" t="s">
        <v>145</v>
      </c>
      <c r="I15" s="21" t="n">
        <v>55</v>
      </c>
      <c r="J15" s="21" t="n">
        <v>45</v>
      </c>
      <c r="K15" s="21" t="n">
        <v>12</v>
      </c>
      <c r="L15" s="21" t="s">
        <v>72</v>
      </c>
      <c r="M15" s="21" t="n">
        <v>2</v>
      </c>
      <c r="N15" s="22" t="n">
        <f aca="false">IFERROR(I15*0.82,0)</f>
        <v>45.1</v>
      </c>
      <c r="O15" s="23" t="n">
        <f aca="false">IFERROR(I15*0.77,0)</f>
        <v>42.35</v>
      </c>
      <c r="P15" s="24" t="n">
        <f aca="false">IFERROR(I15*0.88,0)</f>
        <v>48.4</v>
      </c>
      <c r="Q15" s="25" t="n">
        <v>1</v>
      </c>
      <c r="R15" s="26" t="n">
        <v>10</v>
      </c>
      <c r="S15" s="27" t="n">
        <v>10</v>
      </c>
      <c r="T15" s="28" t="n">
        <v>30</v>
      </c>
      <c r="U15" s="29" t="s">
        <v>73</v>
      </c>
      <c r="V15" s="30" t="n">
        <f aca="false">IFERROR(IF(AND(ISNUMBER(N15),ISNUMBER(M15),N15&gt;0,M15&gt;0),(N15*M15)/1000,0),0)</f>
        <v>0.0902</v>
      </c>
      <c r="W15" s="31" t="s">
        <v>74</v>
      </c>
      <c r="X15" s="32" t="n">
        <f aca="false">IFERROR(IF(ISBLANK(Q15),0,IF(ISNUMBER(SEARCH("Refrigerated",Q15)),2,IF(ISNUMBER(SEARCH("Frozen",Q15)),3.5,0))),0)</f>
        <v>0</v>
      </c>
      <c r="Y15" s="33" t="n">
        <f aca="false">IFERROR(P15+R15,0)</f>
        <v>58.4</v>
      </c>
      <c r="Z15" s="21" t="s">
        <v>75</v>
      </c>
      <c r="AA15" s="21" t="s">
        <v>76</v>
      </c>
      <c r="AB15" s="21" t="s">
        <v>146</v>
      </c>
      <c r="AC15" s="21" t="s">
        <v>147</v>
      </c>
      <c r="AD15" s="21" t="s">
        <v>79</v>
      </c>
    </row>
    <row r="16" customFormat="false" ht="19.5" hidden="false" customHeight="true" outlineLevel="0" collapsed="false">
      <c r="A16" s="34" t="s">
        <v>148</v>
      </c>
      <c r="B16" s="34" t="s">
        <v>149</v>
      </c>
      <c r="C16" s="34" t="s">
        <v>150</v>
      </c>
      <c r="D16" s="34" t="s">
        <v>151</v>
      </c>
      <c r="E16" s="34" t="s">
        <v>68</v>
      </c>
      <c r="F16" s="34" t="s">
        <v>69</v>
      </c>
      <c r="G16" s="34" t="s">
        <v>152</v>
      </c>
      <c r="H16" s="34" t="s">
        <v>153</v>
      </c>
      <c r="I16" s="34" t="n">
        <v>65</v>
      </c>
      <c r="J16" s="34" t="n">
        <v>52</v>
      </c>
      <c r="K16" s="34" t="n">
        <v>12</v>
      </c>
      <c r="L16" s="34" t="s">
        <v>72</v>
      </c>
      <c r="M16" s="34" t="n">
        <v>3</v>
      </c>
      <c r="N16" s="35" t="n">
        <f aca="false">IFERROR(I16*0.82,0)</f>
        <v>53.3</v>
      </c>
      <c r="O16" s="36" t="n">
        <f aca="false">IFERROR(I16*0.77,0)</f>
        <v>50.05</v>
      </c>
      <c r="P16" s="37" t="n">
        <f aca="false">IFERROR(I16*0.88,0)</f>
        <v>57.2</v>
      </c>
      <c r="Q16" s="38" t="n">
        <v>1</v>
      </c>
      <c r="R16" s="38" t="n">
        <v>10</v>
      </c>
      <c r="S16" s="38" t="n">
        <v>15</v>
      </c>
      <c r="T16" s="28" t="n">
        <v>32</v>
      </c>
      <c r="U16" s="29" t="s">
        <v>73</v>
      </c>
      <c r="V16" s="30" t="n">
        <f aca="false">IFERROR(IF(AND(ISNUMBER(N16),ISNUMBER(M16),N16&gt;0,M16&gt;0),(N16*M16)/1000,0),0)</f>
        <v>0.1599</v>
      </c>
      <c r="W16" s="31" t="s">
        <v>107</v>
      </c>
      <c r="X16" s="43" t="n">
        <f aca="false">IFERROR(IF(ISBLANK(Q16),0,IF(ISNUMBER(SEARCH("Refrigerated",Q16)),2,IF(ISNUMBER(SEARCH("Frozen",Q16)),3.5,0))),0)</f>
        <v>0</v>
      </c>
      <c r="Y16" s="44" t="n">
        <f aca="false">IFERROR(P16+R16,0)</f>
        <v>67.2</v>
      </c>
      <c r="Z16" s="34" t="s">
        <v>75</v>
      </c>
      <c r="AA16" s="34" t="s">
        <v>118</v>
      </c>
      <c r="AB16" s="34" t="s">
        <v>154</v>
      </c>
      <c r="AC16" s="34" t="s">
        <v>155</v>
      </c>
      <c r="AD16" s="34" t="s">
        <v>79</v>
      </c>
    </row>
    <row r="17" customFormat="false" ht="19.5" hidden="false" customHeight="true" outlineLevel="0" collapsed="false">
      <c r="A17" s="21" t="s">
        <v>156</v>
      </c>
      <c r="B17" s="21" t="s">
        <v>157</v>
      </c>
      <c r="C17" s="21" t="s">
        <v>158</v>
      </c>
      <c r="D17" s="21" t="s">
        <v>159</v>
      </c>
      <c r="E17" s="21" t="s">
        <v>102</v>
      </c>
      <c r="F17" s="21" t="s">
        <v>69</v>
      </c>
      <c r="G17" s="21" t="s">
        <v>160</v>
      </c>
      <c r="H17" s="21" t="s">
        <v>161</v>
      </c>
      <c r="I17" s="21" t="n">
        <v>30</v>
      </c>
      <c r="J17" s="21" t="n">
        <v>24</v>
      </c>
      <c r="K17" s="21" t="n">
        <v>12</v>
      </c>
      <c r="L17" s="21" t="s">
        <v>72</v>
      </c>
      <c r="M17" s="21" t="n">
        <v>3</v>
      </c>
      <c r="N17" s="22" t="n">
        <f aca="false">IFERROR(I17*0.85,0)</f>
        <v>25.5</v>
      </c>
      <c r="O17" s="23" t="n">
        <f aca="false">IFERROR(I17*0.8,0)</f>
        <v>24</v>
      </c>
      <c r="P17" s="24" t="n">
        <f aca="false">IFERROR(I17*0.9,0)</f>
        <v>27</v>
      </c>
      <c r="Q17" s="25" t="n">
        <v>1</v>
      </c>
      <c r="R17" s="26" t="n">
        <v>10</v>
      </c>
      <c r="S17" s="27" t="n">
        <v>20</v>
      </c>
      <c r="T17" s="28" t="n">
        <v>20</v>
      </c>
      <c r="U17" s="29" t="s">
        <v>73</v>
      </c>
      <c r="V17" s="30" t="n">
        <f aca="false">IFERROR(IF(AND(ISNUMBER(N17),ISNUMBER(M17),N17&gt;0,M17&gt;0),(N17*M17)/1000,0),0)</f>
        <v>0.0765</v>
      </c>
      <c r="W17" s="31" t="s">
        <v>74</v>
      </c>
      <c r="X17" s="32" t="n">
        <f aca="false">IFERROR(IF(ISBLANK(Q17),0,IF(ISNUMBER(SEARCH("Refrigerated",Q17)),2,IF(ISNUMBER(SEARCH("Frozen",Q17)),3.5,0))),0)</f>
        <v>0</v>
      </c>
      <c r="Y17" s="33" t="n">
        <f aca="false">IFERROR(P17+R17,0)</f>
        <v>37</v>
      </c>
      <c r="Z17" s="21" t="s">
        <v>75</v>
      </c>
      <c r="AA17" s="21" t="s">
        <v>76</v>
      </c>
      <c r="AB17" s="21" t="s">
        <v>162</v>
      </c>
      <c r="AC17" s="21" t="s">
        <v>163</v>
      </c>
      <c r="AD17" s="21" t="s">
        <v>79</v>
      </c>
    </row>
    <row r="18" customFormat="false" ht="19.5" hidden="false" customHeight="true" outlineLevel="0" collapsed="false">
      <c r="A18" s="34" t="s">
        <v>164</v>
      </c>
      <c r="B18" s="34" t="s">
        <v>165</v>
      </c>
      <c r="C18" s="34" t="s">
        <v>166</v>
      </c>
      <c r="D18" s="34" t="s">
        <v>93</v>
      </c>
      <c r="E18" s="34" t="s">
        <v>68</v>
      </c>
      <c r="F18" s="34" t="s">
        <v>69</v>
      </c>
      <c r="G18" s="34" t="s">
        <v>167</v>
      </c>
      <c r="H18" s="34" t="s">
        <v>168</v>
      </c>
      <c r="I18" s="34" t="n">
        <v>90</v>
      </c>
      <c r="J18" s="34" t="n">
        <v>75</v>
      </c>
      <c r="K18" s="34" t="n">
        <v>12</v>
      </c>
      <c r="L18" s="34" t="s">
        <v>72</v>
      </c>
      <c r="M18" s="34" t="n">
        <v>2</v>
      </c>
      <c r="N18" s="35" t="n">
        <f aca="false">IFERROR(I18*0.82,0)</f>
        <v>73.8</v>
      </c>
      <c r="O18" s="36" t="n">
        <f aca="false">IFERROR(I18*0.77,0)</f>
        <v>69.3</v>
      </c>
      <c r="P18" s="37" t="n">
        <f aca="false">IFERROR(I18*0.88,0)</f>
        <v>79.2</v>
      </c>
      <c r="Q18" s="38" t="n">
        <v>1</v>
      </c>
      <c r="R18" s="38" t="n">
        <v>10</v>
      </c>
      <c r="S18" s="38" t="n">
        <v>10</v>
      </c>
      <c r="T18" s="28" t="n">
        <v>35</v>
      </c>
      <c r="U18" s="29" t="s">
        <v>73</v>
      </c>
      <c r="V18" s="30" t="n">
        <f aca="false">IFERROR(IF(AND(ISNUMBER(N18),ISNUMBER(M18),N18&gt;0,M18&gt;0),(N18*M18)/1000,0),0)</f>
        <v>0.1476</v>
      </c>
      <c r="W18" s="31" t="s">
        <v>74</v>
      </c>
      <c r="X18" s="43" t="n">
        <f aca="false">IFERROR(IF(ISBLANK(Q18),0,IF(ISNUMBER(SEARCH("Refrigerated",Q18)),2,IF(ISNUMBER(SEARCH("Frozen",Q18)),3.5,0))),0)</f>
        <v>0</v>
      </c>
      <c r="Y18" s="44" t="n">
        <f aca="false">IFERROR(P18+R18,0)</f>
        <v>89.2</v>
      </c>
      <c r="Z18" s="34" t="s">
        <v>75</v>
      </c>
      <c r="AA18" s="34" t="s">
        <v>76</v>
      </c>
      <c r="AB18" s="34" t="s">
        <v>169</v>
      </c>
      <c r="AC18" s="34" t="s">
        <v>170</v>
      </c>
      <c r="AD18" s="34" t="s">
        <v>79</v>
      </c>
    </row>
    <row r="19" customFormat="false" ht="19.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 t="n">
        <f aca="false">IFERROR(I19*0.82,0)</f>
        <v>0</v>
      </c>
      <c r="O19" s="23" t="n">
        <f aca="false">IFERROR(I19*0.77,0)</f>
        <v>0</v>
      </c>
      <c r="P19" s="24" t="n">
        <f aca="false">IFERROR(I19*0.9,0)</f>
        <v>0</v>
      </c>
      <c r="Q19" s="25"/>
      <c r="R19" s="26"/>
      <c r="S19" s="27"/>
      <c r="T19" s="45"/>
      <c r="U19" s="46"/>
      <c r="V19" s="47" t="n">
        <f aca="false">IFERROR(IF(AND(ISNUMBER(N19),ISNUMBER(M19),N19&gt;0,M19&gt;0),(N19*M19)/1000,0),0)</f>
        <v>0</v>
      </c>
      <c r="W19" s="48"/>
      <c r="X19" s="32" t="n">
        <f aca="false">IFERROR(IF(ISBLANK(Q19),0,IF(ISNUMBER(SEARCH("Refrigerated",Q19)),2,IF(ISNUMBER(SEARCH("Frozen",Q19)),3.5,0))),0)</f>
        <v>0</v>
      </c>
      <c r="Y19" s="33" t="n">
        <f aca="false">IFERROR(P19+R19,0)</f>
        <v>0</v>
      </c>
      <c r="Z19" s="21"/>
      <c r="AA19" s="21"/>
      <c r="AB19" s="21"/>
      <c r="AC19" s="21"/>
      <c r="AD19" s="21"/>
    </row>
    <row r="20" customFormat="false" ht="19.5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 t="n">
        <f aca="false">IFERROR(I20*0.82,0)</f>
        <v>0</v>
      </c>
      <c r="O20" s="36" t="n">
        <f aca="false">IFERROR(I20*0.77,0)</f>
        <v>0</v>
      </c>
      <c r="P20" s="37" t="n">
        <f aca="false">IFERROR(I20*0.9,0)</f>
        <v>0</v>
      </c>
      <c r="Q20" s="38"/>
      <c r="R20" s="38"/>
      <c r="S20" s="38"/>
      <c r="T20" s="45"/>
      <c r="U20" s="46"/>
      <c r="V20" s="47" t="n">
        <f aca="false">IFERROR(IF(AND(ISNUMBER(N20),ISNUMBER(M20),N20&gt;0,M20&gt;0),(N20*M20)/1000,0),0)</f>
        <v>0</v>
      </c>
      <c r="W20" s="49"/>
      <c r="X20" s="43" t="n">
        <f aca="false">IFERROR(IF(ISBLANK(Q20),0,IF(ISNUMBER(SEARCH("Refrigerated",Q20)),2,IF(ISNUMBER(SEARCH("Frozen",Q20)),3.5,0))),0)</f>
        <v>0</v>
      </c>
      <c r="Y20" s="44" t="n">
        <f aca="false">IFERROR(P20+R20,0)</f>
        <v>0</v>
      </c>
      <c r="Z20" s="34"/>
      <c r="AA20" s="34"/>
      <c r="AB20" s="34"/>
      <c r="AC20" s="34"/>
      <c r="AD20" s="34"/>
    </row>
    <row r="21" customFormat="false" ht="25.5" hidden="false" customHeight="true" outlineLevel="0" collapsed="false">
      <c r="A21" s="50" t="s">
        <v>171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 t="n">
        <f aca="false">IFERROR(I21*0.82,0)</f>
        <v>0</v>
      </c>
      <c r="O21" s="50" t="n">
        <f aca="false">IFERROR(I21*0.77,0)</f>
        <v>0</v>
      </c>
      <c r="P21" s="50" t="n">
        <f aca="false">IFERROR(I21*0.9,0)</f>
        <v>0</v>
      </c>
      <c r="Q21" s="25"/>
      <c r="R21" s="26"/>
      <c r="S21" s="27"/>
      <c r="T21" s="51"/>
      <c r="U21" s="51"/>
      <c r="V21" s="52"/>
      <c r="W21" s="48"/>
      <c r="X21" s="32" t="n">
        <f aca="false">IFERROR(IF(ISBLANK(Q21),0,IF(ISNUMBER(SEARCH("Refrigerated",Q21)),2,IF(ISNUMBER(SEARCH("Frozen",Q21)),3.5,0))),0)</f>
        <v>0</v>
      </c>
      <c r="Y21" s="33" t="n">
        <f aca="false">IFERROR(P21+R21,0)</f>
        <v>0</v>
      </c>
      <c r="Z21" s="21"/>
      <c r="AA21" s="21"/>
      <c r="AB21" s="21"/>
      <c r="AC21" s="21"/>
      <c r="AD21" s="21"/>
    </row>
    <row r="22" customFormat="false" ht="21.75" hidden="false" customHeight="true" outlineLevel="0" collapsed="false">
      <c r="A22" s="7" t="s">
        <v>172</v>
      </c>
      <c r="B22" s="7" t="s">
        <v>173</v>
      </c>
      <c r="C22" s="7" t="s">
        <v>174</v>
      </c>
      <c r="D22" s="7" t="s">
        <v>175</v>
      </c>
      <c r="E22" s="34"/>
      <c r="F22" s="34"/>
      <c r="G22" s="34"/>
      <c r="H22" s="34"/>
      <c r="I22" s="34"/>
      <c r="J22" s="34"/>
      <c r="K22" s="34"/>
      <c r="L22" s="34"/>
      <c r="M22" s="34"/>
      <c r="N22" s="35" t="n">
        <f aca="false">IFERROR(I22*0.82,0)</f>
        <v>0</v>
      </c>
      <c r="O22" s="36" t="n">
        <f aca="false">IFERROR(I22*0.77,0)</f>
        <v>0</v>
      </c>
      <c r="P22" s="37" t="n">
        <f aca="false">IFERROR(I22*0.9,0)</f>
        <v>0</v>
      </c>
      <c r="Q22" s="38"/>
      <c r="R22" s="38"/>
      <c r="S22" s="38"/>
      <c r="T22" s="45"/>
      <c r="U22" s="46"/>
      <c r="V22" s="47" t="n">
        <f aca="false">IFERROR(IF(AND(ISNUMBER(N22),ISNUMBER(M22),N22&gt;0,M22&gt;0),(N22*M22)/1000,0),0)</f>
        <v>0</v>
      </c>
      <c r="W22" s="49"/>
      <c r="X22" s="43" t="n">
        <f aca="false">IFERROR(IF(ISBLANK(Q22),0,IF(ISNUMBER(SEARCH("Refrigerated",Q22)),2,IF(ISNUMBER(SEARCH("Frozen",Q22)),3.5,0))),0)</f>
        <v>0</v>
      </c>
      <c r="Y22" s="44" t="n">
        <f aca="false">IFERROR(P22+R22,0)</f>
        <v>0</v>
      </c>
      <c r="Z22" s="34"/>
      <c r="AA22" s="34"/>
      <c r="AB22" s="34"/>
      <c r="AC22" s="34"/>
      <c r="AD22" s="34"/>
    </row>
    <row r="23" customFormat="false" ht="19.5" hidden="false" customHeight="true" outlineLevel="0" collapsed="false">
      <c r="A23" s="53" t="s">
        <v>176</v>
      </c>
      <c r="B23" s="54" t="s">
        <v>177</v>
      </c>
      <c r="C23" s="55" t="s">
        <v>178</v>
      </c>
      <c r="D23" s="55" t="s">
        <v>179</v>
      </c>
      <c r="E23" s="21"/>
      <c r="F23" s="21"/>
      <c r="G23" s="21"/>
      <c r="H23" s="21"/>
      <c r="I23" s="21"/>
      <c r="J23" s="21"/>
      <c r="K23" s="21"/>
      <c r="L23" s="21"/>
      <c r="M23" s="21"/>
      <c r="N23" s="22" t="n">
        <f aca="false">IFERROR(I23*0.82,0)</f>
        <v>0</v>
      </c>
      <c r="O23" s="23" t="n">
        <f aca="false">IFERROR(I23*0.77,0)</f>
        <v>0</v>
      </c>
      <c r="P23" s="24" t="n">
        <f aca="false">IFERROR(I23*0.9,0)</f>
        <v>0</v>
      </c>
      <c r="Q23" s="25"/>
      <c r="R23" s="26"/>
      <c r="S23" s="27"/>
      <c r="T23" s="45"/>
      <c r="U23" s="46"/>
      <c r="V23" s="47" t="n">
        <f aca="false">IFERROR(IF(AND(ISNUMBER(N23),ISNUMBER(M23),N23&gt;0,M23&gt;0),(N23*M23)/1000,0),0)</f>
        <v>0</v>
      </c>
      <c r="W23" s="48"/>
      <c r="X23" s="32" t="n">
        <f aca="false">IFERROR(IF(ISBLANK(Q23),0,IF(ISNUMBER(SEARCH("Refrigerated",Q23)),2,IF(ISNUMBER(SEARCH("Frozen",Q23)),3.5,0))),0)</f>
        <v>0</v>
      </c>
      <c r="Y23" s="33" t="n">
        <f aca="false">IFERROR(P23+R23,0)</f>
        <v>0</v>
      </c>
      <c r="Z23" s="21"/>
      <c r="AA23" s="21"/>
      <c r="AB23" s="21"/>
      <c r="AC23" s="21"/>
      <c r="AD23" s="21"/>
    </row>
    <row r="24" customFormat="false" ht="19.5" hidden="false" customHeight="true" outlineLevel="0" collapsed="false">
      <c r="A24" s="56" t="s">
        <v>180</v>
      </c>
      <c r="B24" s="57" t="s">
        <v>181</v>
      </c>
      <c r="C24" s="34" t="s">
        <v>182</v>
      </c>
      <c r="D24" s="34" t="s">
        <v>183</v>
      </c>
      <c r="E24" s="34"/>
      <c r="F24" s="34"/>
      <c r="G24" s="34"/>
      <c r="H24" s="34"/>
      <c r="I24" s="34"/>
      <c r="J24" s="34"/>
      <c r="K24" s="34"/>
      <c r="L24" s="34"/>
      <c r="M24" s="34"/>
      <c r="N24" s="35" t="n">
        <f aca="false">IFERROR(I24*0.82,0)</f>
        <v>0</v>
      </c>
      <c r="O24" s="36" t="n">
        <f aca="false">IFERROR(I24*0.77,0)</f>
        <v>0</v>
      </c>
      <c r="P24" s="37" t="n">
        <f aca="false">IFERROR(I24*0.9,0)</f>
        <v>0</v>
      </c>
      <c r="Q24" s="38"/>
      <c r="R24" s="38"/>
      <c r="S24" s="38"/>
      <c r="T24" s="45"/>
      <c r="U24" s="46"/>
      <c r="V24" s="47" t="n">
        <f aca="false">IFERROR(IF(AND(ISNUMBER(N24),ISNUMBER(M24),N24&gt;0,M24&gt;0),(N24*M24)/1000,0),0)</f>
        <v>0</v>
      </c>
      <c r="W24" s="49"/>
      <c r="X24" s="43" t="n">
        <f aca="false">IFERROR(IF(ISBLANK(Q24),0,IF(ISNUMBER(SEARCH("Refrigerated",Q24)),2,IF(ISNUMBER(SEARCH("Frozen",Q24)),3.5,0))),0)</f>
        <v>0</v>
      </c>
      <c r="Y24" s="44" t="n">
        <f aca="false">IFERROR(P24+R24,0)</f>
        <v>0</v>
      </c>
      <c r="Z24" s="34"/>
      <c r="AA24" s="34"/>
      <c r="AB24" s="34"/>
      <c r="AC24" s="34"/>
      <c r="AD24" s="34"/>
    </row>
    <row r="25" customFormat="false" ht="19.5" hidden="false" customHeight="true" outlineLevel="0" collapsed="false">
      <c r="A25" s="53" t="s">
        <v>184</v>
      </c>
      <c r="B25" s="54" t="s">
        <v>185</v>
      </c>
      <c r="C25" s="55" t="s">
        <v>186</v>
      </c>
      <c r="D25" s="55" t="s">
        <v>187</v>
      </c>
      <c r="E25" s="21"/>
      <c r="F25" s="21"/>
      <c r="G25" s="21"/>
      <c r="H25" s="21"/>
      <c r="I25" s="21"/>
      <c r="J25" s="21"/>
      <c r="K25" s="21"/>
      <c r="L25" s="21"/>
      <c r="M25" s="21"/>
      <c r="N25" s="22" t="n">
        <f aca="false">IFERROR(I25*0.82,0)</f>
        <v>0</v>
      </c>
      <c r="O25" s="23" t="n">
        <f aca="false">IFERROR(I25*0.77,0)</f>
        <v>0</v>
      </c>
      <c r="P25" s="24" t="n">
        <f aca="false">IFERROR(I25*0.9,0)</f>
        <v>0</v>
      </c>
      <c r="Q25" s="25"/>
      <c r="R25" s="26"/>
      <c r="S25" s="27"/>
      <c r="T25" s="45"/>
      <c r="U25" s="46"/>
      <c r="V25" s="47" t="n">
        <f aca="false">IFERROR(IF(AND(ISNUMBER(N25),ISNUMBER(M25),N25&gt;0,M25&gt;0),(N25*M25)/1000,0),0)</f>
        <v>0</v>
      </c>
      <c r="W25" s="48"/>
      <c r="X25" s="32" t="n">
        <f aca="false">IFERROR(IF(ISBLANK(Q25),0,IF(ISNUMBER(SEARCH("Refrigerated",Q25)),2,IF(ISNUMBER(SEARCH("Frozen",Q25)),3.5,0))),0)</f>
        <v>0</v>
      </c>
      <c r="Y25" s="33" t="n">
        <f aca="false">IFERROR(P25+R25,0)</f>
        <v>0</v>
      </c>
      <c r="Z25" s="21"/>
      <c r="AA25" s="21"/>
      <c r="AB25" s="21"/>
      <c r="AC25" s="21"/>
      <c r="AD25" s="21"/>
    </row>
    <row r="26" customFormat="false" ht="19.5" hidden="false" customHeight="true" outlineLevel="0" collapsed="false">
      <c r="A26" s="58" t="s">
        <v>188</v>
      </c>
      <c r="B26" s="59" t="s">
        <v>189</v>
      </c>
      <c r="C26" s="49" t="s">
        <v>190</v>
      </c>
      <c r="D26" s="49" t="s">
        <v>191</v>
      </c>
      <c r="E26" s="34"/>
      <c r="F26" s="34"/>
      <c r="G26" s="34"/>
      <c r="H26" s="34"/>
      <c r="I26" s="34"/>
      <c r="J26" s="34"/>
      <c r="K26" s="34"/>
      <c r="L26" s="34"/>
      <c r="M26" s="34"/>
      <c r="N26" s="35" t="n">
        <f aca="false">IFERROR(I26*0.82,0)</f>
        <v>0</v>
      </c>
      <c r="O26" s="36" t="n">
        <f aca="false">IFERROR(I26*0.77,0)</f>
        <v>0</v>
      </c>
      <c r="P26" s="37" t="n">
        <f aca="false">IFERROR(I26*0.9,0)</f>
        <v>0</v>
      </c>
      <c r="Q26" s="38"/>
      <c r="R26" s="38"/>
      <c r="S26" s="38"/>
      <c r="T26" s="45"/>
      <c r="U26" s="46"/>
      <c r="V26" s="47" t="n">
        <f aca="false">IFERROR(IF(AND(ISNUMBER(N26),ISNUMBER(M26),N26&gt;0,M26&gt;0),(N26*M26)/1000,0),0)</f>
        <v>0</v>
      </c>
      <c r="W26" s="49"/>
      <c r="X26" s="43" t="n">
        <f aca="false">IFERROR(IF(ISBLANK(Q26),0,IF(ISNUMBER(SEARCH("Refrigerated",Q26)),2,IF(ISNUMBER(SEARCH("Frozen",Q26)),3.5,0))),0)</f>
        <v>0</v>
      </c>
      <c r="Y26" s="44" t="n">
        <f aca="false">IFERROR(P26+R26,0)</f>
        <v>0</v>
      </c>
      <c r="Z26" s="34"/>
      <c r="AA26" s="34"/>
      <c r="AB26" s="34"/>
      <c r="AC26" s="34"/>
      <c r="AD26" s="34"/>
    </row>
    <row r="27" customFormat="false" ht="19.5" hidden="false" customHeight="true" outlineLevel="0" collapsed="false">
      <c r="A27" s="58" t="s">
        <v>192</v>
      </c>
      <c r="B27" s="59" t="s">
        <v>193</v>
      </c>
      <c r="C27" s="49" t="s">
        <v>194</v>
      </c>
      <c r="D27" s="49" t="s">
        <v>195</v>
      </c>
      <c r="E27" s="21"/>
      <c r="F27" s="21"/>
      <c r="G27" s="21"/>
      <c r="H27" s="21"/>
      <c r="I27" s="21"/>
      <c r="J27" s="21"/>
      <c r="K27" s="21"/>
      <c r="L27" s="21"/>
      <c r="M27" s="21"/>
      <c r="N27" s="22" t="n">
        <f aca="false">IFERROR(I27*0.82,0)</f>
        <v>0</v>
      </c>
      <c r="O27" s="23" t="n">
        <f aca="false">IFERROR(I27*0.77,0)</f>
        <v>0</v>
      </c>
      <c r="P27" s="24" t="n">
        <f aca="false">IFERROR(I27*0.9,0)</f>
        <v>0</v>
      </c>
      <c r="Q27" s="25"/>
      <c r="R27" s="26"/>
      <c r="S27" s="27"/>
      <c r="T27" s="45"/>
      <c r="U27" s="46"/>
      <c r="V27" s="47" t="n">
        <f aca="false">IFERROR(IF(AND(ISNUMBER(N27),ISNUMBER(M27),N27&gt;0,M27&gt;0),(N27*M27)/1000,0),0)</f>
        <v>0</v>
      </c>
      <c r="W27" s="48"/>
      <c r="X27" s="32" t="n">
        <f aca="false">IFERROR(IF(ISBLANK(Q27),0,IF(ISNUMBER(SEARCH("Refrigerated",Q27)),2,IF(ISNUMBER(SEARCH("Frozen",Q27)),3.5,0))),0)</f>
        <v>0</v>
      </c>
      <c r="Y27" s="33" t="n">
        <f aca="false">IFERROR(P27+R27,0)</f>
        <v>0</v>
      </c>
      <c r="Z27" s="21"/>
      <c r="AA27" s="21"/>
      <c r="AB27" s="21"/>
      <c r="AC27" s="21"/>
      <c r="AD27" s="21"/>
    </row>
    <row r="28" customFormat="false" ht="19.5" hidden="false" customHeight="true" outlineLevel="0" collapsed="false">
      <c r="A28" s="56" t="s">
        <v>196</v>
      </c>
      <c r="B28" s="57" t="s">
        <v>197</v>
      </c>
      <c r="C28" s="34" t="s">
        <v>198</v>
      </c>
      <c r="D28" s="34" t="s">
        <v>199</v>
      </c>
      <c r="E28" s="34"/>
      <c r="F28" s="34"/>
      <c r="G28" s="34"/>
      <c r="H28" s="34"/>
      <c r="I28" s="34"/>
      <c r="J28" s="34"/>
      <c r="K28" s="34"/>
      <c r="L28" s="34"/>
      <c r="M28" s="34"/>
      <c r="N28" s="35" t="n">
        <f aca="false">IFERROR(I28*0.82,0)</f>
        <v>0</v>
      </c>
      <c r="O28" s="36" t="n">
        <f aca="false">IFERROR(I28*0.77,0)</f>
        <v>0</v>
      </c>
      <c r="P28" s="37" t="n">
        <f aca="false">IFERROR(I28*0.9,0)</f>
        <v>0</v>
      </c>
      <c r="Q28" s="38"/>
      <c r="R28" s="38"/>
      <c r="S28" s="38"/>
      <c r="T28" s="45"/>
      <c r="U28" s="46"/>
      <c r="V28" s="47" t="n">
        <f aca="false">IFERROR(IF(AND(ISNUMBER(N28),ISNUMBER(M28),N28&gt;0,M28&gt;0),(N28*M28)/1000,0),0)</f>
        <v>0</v>
      </c>
      <c r="W28" s="49"/>
      <c r="X28" s="43" t="n">
        <f aca="false">IFERROR(IF(ISBLANK(Q28),0,IF(ISNUMBER(SEARCH("Refrigerated",Q28)),2,IF(ISNUMBER(SEARCH("Frozen",Q28)),3.5,0))),0)</f>
        <v>0</v>
      </c>
      <c r="Y28" s="44" t="n">
        <f aca="false">IFERROR(P28+R28,0)</f>
        <v>0</v>
      </c>
      <c r="Z28" s="34"/>
      <c r="AA28" s="34"/>
      <c r="AB28" s="34"/>
      <c r="AC28" s="34"/>
      <c r="AD28" s="34"/>
    </row>
    <row r="29" customFormat="false" ht="19.5" hidden="false" customHeight="true" outlineLevel="0" collapsed="false">
      <c r="A29" s="53" t="s">
        <v>200</v>
      </c>
      <c r="B29" s="54" t="s">
        <v>201</v>
      </c>
      <c r="C29" s="55" t="s">
        <v>202</v>
      </c>
      <c r="D29" s="55" t="s">
        <v>203</v>
      </c>
      <c r="E29" s="21"/>
      <c r="F29" s="21"/>
      <c r="G29" s="21"/>
      <c r="H29" s="21"/>
      <c r="I29" s="21"/>
      <c r="J29" s="21"/>
      <c r="K29" s="21"/>
      <c r="L29" s="21"/>
      <c r="M29" s="21"/>
      <c r="N29" s="22" t="n">
        <f aca="false">IFERROR(I29*0.82,0)</f>
        <v>0</v>
      </c>
      <c r="O29" s="23" t="n">
        <f aca="false">IFERROR(I29*0.77,0)</f>
        <v>0</v>
      </c>
      <c r="P29" s="24" t="n">
        <f aca="false">IFERROR(I29*0.9,0)</f>
        <v>0</v>
      </c>
      <c r="Q29" s="25"/>
      <c r="R29" s="26"/>
      <c r="S29" s="27"/>
      <c r="T29" s="45"/>
      <c r="U29" s="46"/>
      <c r="V29" s="47" t="n">
        <f aca="false">IFERROR(IF(AND(ISNUMBER(N29),ISNUMBER(M29),N29&gt;0,M29&gt;0),(N29*M29)/1000,0),0)</f>
        <v>0</v>
      </c>
      <c r="W29" s="48"/>
      <c r="X29" s="32" t="n">
        <f aca="false">IFERROR(IF(ISBLANK(Q29),0,IF(ISNUMBER(SEARCH("Refrigerated",Q29)),2,IF(ISNUMBER(SEARCH("Frozen",Q29)),3.5,0))),0)</f>
        <v>0</v>
      </c>
      <c r="Y29" s="33" t="n">
        <f aca="false">IFERROR(P29+R29,0)</f>
        <v>0</v>
      </c>
      <c r="Z29" s="21"/>
      <c r="AA29" s="21"/>
      <c r="AB29" s="21"/>
      <c r="AC29" s="21"/>
      <c r="AD29" s="21"/>
    </row>
    <row r="30" customFormat="false" ht="19.5" hidden="false" customHeight="true" outlineLevel="0" collapsed="false">
      <c r="A30" s="58" t="s">
        <v>204</v>
      </c>
      <c r="B30" s="59" t="s">
        <v>205</v>
      </c>
      <c r="C30" s="49" t="s">
        <v>206</v>
      </c>
      <c r="D30" s="49" t="s">
        <v>207</v>
      </c>
      <c r="E30" s="34"/>
      <c r="F30" s="34"/>
      <c r="G30" s="34"/>
      <c r="H30" s="34"/>
      <c r="I30" s="34"/>
      <c r="J30" s="34"/>
      <c r="K30" s="34"/>
      <c r="L30" s="34"/>
      <c r="M30" s="34"/>
      <c r="N30" s="35" t="n">
        <f aca="false">IFERROR(I30*0.82,0)</f>
        <v>0</v>
      </c>
      <c r="O30" s="36" t="n">
        <f aca="false">IFERROR(I30*0.77,0)</f>
        <v>0</v>
      </c>
      <c r="P30" s="37" t="n">
        <f aca="false">IFERROR(I30*0.9,0)</f>
        <v>0</v>
      </c>
      <c r="Q30" s="38"/>
      <c r="R30" s="38"/>
      <c r="S30" s="38"/>
      <c r="T30" s="45"/>
      <c r="U30" s="46"/>
      <c r="V30" s="47" t="n">
        <f aca="false">IFERROR(IF(AND(ISNUMBER(N30),ISNUMBER(M30),N30&gt;0,M30&gt;0),(N30*M30)/1000,0),0)</f>
        <v>0</v>
      </c>
      <c r="W30" s="49"/>
      <c r="X30" s="43" t="n">
        <f aca="false">IFERROR(IF(ISBLANK(Q30),0,IF(ISNUMBER(SEARCH("Refrigerated",Q30)),2,IF(ISNUMBER(SEARCH("Frozen",Q30)),3.5,0))),0)</f>
        <v>0</v>
      </c>
      <c r="Y30" s="44" t="n">
        <f aca="false">IFERROR(P30+R30,0)</f>
        <v>0</v>
      </c>
      <c r="Z30" s="34"/>
      <c r="AA30" s="34"/>
      <c r="AB30" s="34"/>
      <c r="AC30" s="34"/>
      <c r="AD30" s="34"/>
    </row>
    <row r="31" customFormat="false" ht="19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 t="n">
        <f aca="false">IFERROR(I31*0.82,0)</f>
        <v>0</v>
      </c>
      <c r="O31" s="23" t="n">
        <f aca="false">IFERROR(I31*0.77,0)</f>
        <v>0</v>
      </c>
      <c r="P31" s="24" t="n">
        <f aca="false">IFERROR(I31*0.9,0)</f>
        <v>0</v>
      </c>
      <c r="Q31" s="25"/>
      <c r="R31" s="26"/>
      <c r="S31" s="27"/>
      <c r="T31" s="45"/>
      <c r="U31" s="46"/>
      <c r="V31" s="47" t="n">
        <f aca="false">IFERROR(IF(AND(ISNUMBER(N31),ISNUMBER(M31),N31&gt;0,M31&gt;0),(N31*M31)/1000,0),0)</f>
        <v>0</v>
      </c>
      <c r="W31" s="48"/>
      <c r="X31" s="32" t="n">
        <f aca="false">IFERROR(IF(ISBLANK(Q31),0,IF(ISNUMBER(SEARCH("Refrigerated",Q31)),2,IF(ISNUMBER(SEARCH("Frozen",Q31)),3.5,0))),0)</f>
        <v>0</v>
      </c>
      <c r="Y31" s="33" t="n">
        <f aca="false">IFERROR(P31+R31,0)</f>
        <v>0</v>
      </c>
      <c r="Z31" s="21"/>
      <c r="AA31" s="21"/>
      <c r="AB31" s="21"/>
      <c r="AC31" s="21"/>
      <c r="AD31" s="21"/>
    </row>
    <row r="32" customFormat="false" ht="36" hidden="false" customHeight="true" outlineLevel="0" collapsed="false">
      <c r="A32" s="60" t="s">
        <v>208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 t="n">
        <f aca="false">IFERROR(I32*0.82,0)</f>
        <v>0</v>
      </c>
      <c r="O32" s="60" t="n">
        <f aca="false">IFERROR(I32*0.77,0)</f>
        <v>0</v>
      </c>
      <c r="P32" s="60" t="n">
        <f aca="false">IFERROR(I32*0.9,0)</f>
        <v>0</v>
      </c>
      <c r="Q32" s="38"/>
      <c r="R32" s="38"/>
      <c r="S32" s="38"/>
      <c r="T32" s="51"/>
      <c r="U32" s="51"/>
      <c r="V32" s="52"/>
      <c r="W32" s="49"/>
      <c r="X32" s="43" t="n">
        <f aca="false">IFERROR(IF(ISBLANK(Q32),0,IF(ISNUMBER(SEARCH("Refrigerated",Q32)),2,IF(ISNUMBER(SEARCH("Frozen",Q32)),3.5,0))),0)</f>
        <v>0</v>
      </c>
      <c r="Y32" s="44" t="n">
        <f aca="false">IFERROR(P32+R32,0)</f>
        <v>0</v>
      </c>
      <c r="Z32" s="34"/>
      <c r="AA32" s="34"/>
      <c r="AB32" s="34"/>
      <c r="AC32" s="34"/>
      <c r="AD32" s="34"/>
    </row>
    <row r="33" customFormat="false" ht="19.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 t="n">
        <f aca="false">IFERROR(I33*0.82,0)</f>
        <v>0</v>
      </c>
      <c r="O33" s="23" t="n">
        <f aca="false">IFERROR(I33*0.77,0)</f>
        <v>0</v>
      </c>
      <c r="P33" s="24" t="n">
        <f aca="false">IFERROR(I33*0.9,0)</f>
        <v>0</v>
      </c>
      <c r="Q33" s="25"/>
      <c r="R33" s="26"/>
      <c r="S33" s="27"/>
      <c r="T33" s="45"/>
      <c r="U33" s="46"/>
      <c r="V33" s="47" t="n">
        <f aca="false">IFERROR(IF(AND(ISNUMBER(N33),ISNUMBER(M33),N33&gt;0,M33&gt;0),(N33*M33)/1000,0),0)</f>
        <v>0</v>
      </c>
      <c r="W33" s="48"/>
      <c r="X33" s="32" t="n">
        <f aca="false">IFERROR(IF(ISBLANK(Q33),0,IF(ISNUMBER(SEARCH("Refrigerated",Q33)),2,IF(ISNUMBER(SEARCH("Frozen",Q33)),3.5,0))),0)</f>
        <v>0</v>
      </c>
      <c r="Y33" s="33" t="n">
        <f aca="false">IFERROR(P33+R33,0)</f>
        <v>0</v>
      </c>
      <c r="Z33" s="21"/>
      <c r="AA33" s="21"/>
      <c r="AB33" s="21"/>
      <c r="AC33" s="21"/>
      <c r="AD33" s="21"/>
    </row>
    <row r="34" customFormat="false" ht="19.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 t="n">
        <f aca="false">IFERROR(I34*0.82,0)</f>
        <v>0</v>
      </c>
      <c r="O34" s="36" t="n">
        <f aca="false">IFERROR(I34*0.77,0)</f>
        <v>0</v>
      </c>
      <c r="P34" s="37" t="n">
        <f aca="false">IFERROR(I34*0.9,0)</f>
        <v>0</v>
      </c>
      <c r="Q34" s="38"/>
      <c r="R34" s="38"/>
      <c r="S34" s="38"/>
      <c r="T34" s="45"/>
      <c r="U34" s="46"/>
      <c r="V34" s="47" t="n">
        <f aca="false">IFERROR(IF(AND(ISNUMBER(N34),ISNUMBER(M34),N34&gt;0,M34&gt;0),(N34*M34)/1000,0),0)</f>
        <v>0</v>
      </c>
      <c r="W34" s="49"/>
      <c r="X34" s="43" t="n">
        <f aca="false">IFERROR(IF(ISBLANK(Q34),0,IF(ISNUMBER(SEARCH("Refrigerated",Q34)),2,IF(ISNUMBER(SEARCH("Frozen",Q34)),3.5,0))),0)</f>
        <v>0</v>
      </c>
      <c r="Y34" s="44" t="n">
        <f aca="false">IFERROR(P34+R34,0)</f>
        <v>0</v>
      </c>
      <c r="Z34" s="34"/>
      <c r="AA34" s="34"/>
      <c r="AB34" s="34"/>
      <c r="AC34" s="34"/>
      <c r="AD34" s="34"/>
    </row>
    <row r="35" customFormat="false" ht="19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 t="n">
        <f aca="false">IFERROR(I35*0.82,0)</f>
        <v>0</v>
      </c>
      <c r="O35" s="23" t="n">
        <f aca="false">IFERROR(I35*0.77,0)</f>
        <v>0</v>
      </c>
      <c r="P35" s="24" t="n">
        <f aca="false">IFERROR(I35*0.9,0)</f>
        <v>0</v>
      </c>
      <c r="Q35" s="25"/>
      <c r="R35" s="26"/>
      <c r="S35" s="27"/>
      <c r="T35" s="45"/>
      <c r="U35" s="46"/>
      <c r="V35" s="47" t="n">
        <f aca="false">IFERROR(IF(AND(ISNUMBER(N35),ISNUMBER(M35),N35&gt;0,M35&gt;0),(N35*M35)/1000,0),0)</f>
        <v>0</v>
      </c>
      <c r="W35" s="48"/>
      <c r="X35" s="32" t="n">
        <f aca="false">IFERROR(IF(ISBLANK(Q35),0,IF(ISNUMBER(SEARCH("Refrigerated",Q35)),2,IF(ISNUMBER(SEARCH("Frozen",Q35)),3.5,0))),0)</f>
        <v>0</v>
      </c>
      <c r="Y35" s="33" t="n">
        <f aca="false">IFERROR(P35+R35,0)</f>
        <v>0</v>
      </c>
      <c r="Z35" s="21"/>
      <c r="AA35" s="21"/>
      <c r="AB35" s="21"/>
      <c r="AC35" s="21"/>
      <c r="AD35" s="21"/>
    </row>
    <row r="36" customFormat="false" ht="19.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5" t="n">
        <f aca="false">IFERROR(I36*0.82,0)</f>
        <v>0</v>
      </c>
      <c r="O36" s="36" t="n">
        <f aca="false">IFERROR(I36*0.77,0)</f>
        <v>0</v>
      </c>
      <c r="P36" s="37" t="n">
        <f aca="false">IFERROR(I36*0.9,0)</f>
        <v>0</v>
      </c>
      <c r="Q36" s="38"/>
      <c r="R36" s="38"/>
      <c r="S36" s="38"/>
      <c r="T36" s="45"/>
      <c r="U36" s="46"/>
      <c r="V36" s="47" t="n">
        <f aca="false">IFERROR(IF(AND(ISNUMBER(N36),ISNUMBER(M36),N36&gt;0,M36&gt;0),(N36*M36)/1000,0),0)</f>
        <v>0</v>
      </c>
      <c r="W36" s="49"/>
      <c r="X36" s="43" t="n">
        <f aca="false">IFERROR(IF(ISBLANK(Q36),0,IF(ISNUMBER(SEARCH("Refrigerated",Q36)),2,IF(ISNUMBER(SEARCH("Frozen",Q36)),3.5,0))),0)</f>
        <v>0</v>
      </c>
      <c r="Y36" s="44" t="n">
        <f aca="false">IFERROR(P36+R36,0)</f>
        <v>0</v>
      </c>
      <c r="Z36" s="34"/>
      <c r="AA36" s="34"/>
      <c r="AB36" s="34"/>
      <c r="AC36" s="34"/>
      <c r="AD36" s="34"/>
    </row>
    <row r="37" customFormat="false" ht="19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 t="n">
        <f aca="false">IFERROR(I37*0.82,0)</f>
        <v>0</v>
      </c>
      <c r="O37" s="23" t="n">
        <f aca="false">IFERROR(I37*0.77,0)</f>
        <v>0</v>
      </c>
      <c r="P37" s="24" t="n">
        <f aca="false">IFERROR(I37*0.9,0)</f>
        <v>0</v>
      </c>
      <c r="Q37" s="25"/>
      <c r="R37" s="26"/>
      <c r="S37" s="27"/>
      <c r="T37" s="45"/>
      <c r="U37" s="46"/>
      <c r="V37" s="47" t="n">
        <f aca="false">IFERROR(IF(AND(ISNUMBER(N37),ISNUMBER(M37),N37&gt;0,M37&gt;0),(N37*M37)/1000,0),0)</f>
        <v>0</v>
      </c>
      <c r="W37" s="48"/>
      <c r="X37" s="32" t="n">
        <f aca="false">IFERROR(IF(ISBLANK(Q37),0,IF(ISNUMBER(SEARCH("Refrigerated",Q37)),2,IF(ISNUMBER(SEARCH("Frozen",Q37)),3.5,0))),0)</f>
        <v>0</v>
      </c>
      <c r="Y37" s="33" t="n">
        <f aca="false">IFERROR(P37+R37,0)</f>
        <v>0</v>
      </c>
      <c r="Z37" s="21"/>
      <c r="AA37" s="21"/>
      <c r="AB37" s="21"/>
      <c r="AC37" s="21"/>
      <c r="AD37" s="21"/>
    </row>
    <row r="38" customFormat="false" ht="19.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 t="n">
        <f aca="false">IFERROR(I38*0.82,0)</f>
        <v>0</v>
      </c>
      <c r="O38" s="36" t="n">
        <f aca="false">IFERROR(I38*0.77,0)</f>
        <v>0</v>
      </c>
      <c r="P38" s="37" t="n">
        <f aca="false">IFERROR(I38*0.9,0)</f>
        <v>0</v>
      </c>
      <c r="Q38" s="38"/>
      <c r="R38" s="38"/>
      <c r="S38" s="38"/>
      <c r="T38" s="45"/>
      <c r="U38" s="46"/>
      <c r="V38" s="47" t="n">
        <f aca="false">IFERROR(IF(AND(ISNUMBER(N38),ISNUMBER(M38),N38&gt;0,M38&gt;0),(N38*M38)/1000,0),0)</f>
        <v>0</v>
      </c>
      <c r="W38" s="49"/>
      <c r="X38" s="43" t="n">
        <f aca="false">IFERROR(IF(ISBLANK(Q38),0,IF(ISNUMBER(SEARCH("Refrigerated",Q38)),2,IF(ISNUMBER(SEARCH("Frozen",Q38)),3.5,0))),0)</f>
        <v>0</v>
      </c>
      <c r="Y38" s="44" t="n">
        <f aca="false">IFERROR(P38+R38,0)</f>
        <v>0</v>
      </c>
      <c r="Z38" s="34"/>
      <c r="AA38" s="34"/>
      <c r="AB38" s="34"/>
      <c r="AC38" s="34"/>
      <c r="AD38" s="34"/>
    </row>
    <row r="39" customFormat="false" ht="19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2" t="n">
        <f aca="false">IFERROR(I39*0.82,0)</f>
        <v>0</v>
      </c>
      <c r="O39" s="23" t="n">
        <f aca="false">IFERROR(I39*0.77,0)</f>
        <v>0</v>
      </c>
      <c r="P39" s="24" t="n">
        <f aca="false">IFERROR(I39*0.9,0)</f>
        <v>0</v>
      </c>
      <c r="Q39" s="25"/>
      <c r="R39" s="26"/>
      <c r="S39" s="27"/>
      <c r="T39" s="45"/>
      <c r="U39" s="46"/>
      <c r="V39" s="47" t="n">
        <f aca="false">IFERROR(IF(AND(ISNUMBER(N39),ISNUMBER(M39),N39&gt;0,M39&gt;0),(N39*M39)/1000,0),0)</f>
        <v>0</v>
      </c>
      <c r="W39" s="48"/>
      <c r="X39" s="32" t="n">
        <f aca="false">IFERROR(IF(ISBLANK(Q39),0,IF(ISNUMBER(SEARCH("Refrigerated",Q39)),2,IF(ISNUMBER(SEARCH("Frozen",Q39)),3.5,0))),0)</f>
        <v>0</v>
      </c>
      <c r="Y39" s="33" t="n">
        <f aca="false">IFERROR(P39+R39,0)</f>
        <v>0</v>
      </c>
      <c r="Z39" s="21"/>
      <c r="AA39" s="21"/>
      <c r="AB39" s="21"/>
      <c r="AC39" s="21"/>
      <c r="AD39" s="21"/>
    </row>
    <row r="40" customFormat="false" ht="19.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5" t="n">
        <f aca="false">IFERROR(I40*0.82,0)</f>
        <v>0</v>
      </c>
      <c r="O40" s="36" t="n">
        <f aca="false">IFERROR(I40*0.77,0)</f>
        <v>0</v>
      </c>
      <c r="P40" s="37" t="n">
        <f aca="false">IFERROR(I40*0.9,0)</f>
        <v>0</v>
      </c>
      <c r="Q40" s="38"/>
      <c r="R40" s="38"/>
      <c r="S40" s="38"/>
      <c r="T40" s="45"/>
      <c r="U40" s="46"/>
      <c r="V40" s="47" t="n">
        <f aca="false">IFERROR(IF(AND(ISNUMBER(N40),ISNUMBER(M40),N40&gt;0,M40&gt;0),(N40*M40)/1000,0),0)</f>
        <v>0</v>
      </c>
      <c r="W40" s="49"/>
      <c r="X40" s="43" t="n">
        <f aca="false">IFERROR(IF(ISBLANK(Q40),0,IF(ISNUMBER(SEARCH("Refrigerated",Q40)),2,IF(ISNUMBER(SEARCH("Frozen",Q40)),3.5,0))),0)</f>
        <v>0</v>
      </c>
      <c r="Y40" s="44" t="n">
        <f aca="false">IFERROR(P40+R40,0)</f>
        <v>0</v>
      </c>
      <c r="Z40" s="34"/>
      <c r="AA40" s="34"/>
      <c r="AB40" s="34"/>
      <c r="AC40" s="34"/>
      <c r="AD40" s="34"/>
    </row>
    <row r="41" customFormat="false" ht="19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2" t="n">
        <f aca="false">IFERROR(I41*0.82,0)</f>
        <v>0</v>
      </c>
      <c r="O41" s="23" t="n">
        <f aca="false">IFERROR(I41*0.77,0)</f>
        <v>0</v>
      </c>
      <c r="P41" s="24" t="n">
        <f aca="false">IFERROR(I41*0.9,0)</f>
        <v>0</v>
      </c>
      <c r="Q41" s="25"/>
      <c r="R41" s="26"/>
      <c r="S41" s="27"/>
      <c r="T41" s="45"/>
      <c r="U41" s="46"/>
      <c r="V41" s="47" t="n">
        <f aca="false">IFERROR(IF(AND(ISNUMBER(N41),ISNUMBER(M41),N41&gt;0,M41&gt;0),(N41*M41)/1000,0),0)</f>
        <v>0</v>
      </c>
      <c r="W41" s="48"/>
      <c r="X41" s="32" t="n">
        <f aca="false">IFERROR(IF(ISBLANK(Q41),0,IF(ISNUMBER(SEARCH("Refrigerated",Q41)),2,IF(ISNUMBER(SEARCH("Frozen",Q41)),3.5,0))),0)</f>
        <v>0</v>
      </c>
      <c r="Y41" s="33" t="n">
        <f aca="false">IFERROR(P41+R41,0)</f>
        <v>0</v>
      </c>
      <c r="Z41" s="21"/>
      <c r="AA41" s="21"/>
      <c r="AB41" s="21"/>
      <c r="AC41" s="21"/>
      <c r="AD41" s="21"/>
    </row>
    <row r="42" customFormat="false" ht="19.5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5" t="n">
        <f aca="false">IFERROR(I42*0.82,0)</f>
        <v>0</v>
      </c>
      <c r="O42" s="36" t="n">
        <f aca="false">IFERROR(I42*0.77,0)</f>
        <v>0</v>
      </c>
      <c r="P42" s="37" t="n">
        <f aca="false">IFERROR(I42*0.9,0)</f>
        <v>0</v>
      </c>
      <c r="Q42" s="38"/>
      <c r="R42" s="38"/>
      <c r="S42" s="38"/>
      <c r="T42" s="45"/>
      <c r="U42" s="46"/>
      <c r="V42" s="47" t="n">
        <f aca="false">IFERROR(IF(AND(ISNUMBER(N42),ISNUMBER(M42),N42&gt;0,M42&gt;0),(N42*M42)/1000,0),0)</f>
        <v>0</v>
      </c>
      <c r="W42" s="49"/>
      <c r="X42" s="43" t="n">
        <f aca="false">IFERROR(IF(ISBLANK(Q42),0,IF(ISNUMBER(SEARCH("Refrigerated",Q42)),2,IF(ISNUMBER(SEARCH("Frozen",Q42)),3.5,0))),0)</f>
        <v>0</v>
      </c>
      <c r="Y42" s="44" t="n">
        <f aca="false">IFERROR(P42+R42,0)</f>
        <v>0</v>
      </c>
      <c r="Z42" s="34"/>
      <c r="AA42" s="34"/>
      <c r="AB42" s="34"/>
      <c r="AC42" s="34"/>
      <c r="AD42" s="34"/>
    </row>
    <row r="43" customFormat="false" ht="19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2" t="n">
        <f aca="false">IFERROR(I43*0.82,0)</f>
        <v>0</v>
      </c>
      <c r="O43" s="23" t="n">
        <f aca="false">IFERROR(I43*0.77,0)</f>
        <v>0</v>
      </c>
      <c r="P43" s="24" t="n">
        <f aca="false">IFERROR(I43*0.9,0)</f>
        <v>0</v>
      </c>
      <c r="Q43" s="25"/>
      <c r="R43" s="26"/>
      <c r="S43" s="27"/>
      <c r="T43" s="45"/>
      <c r="U43" s="46"/>
      <c r="V43" s="47" t="n">
        <f aca="false">IFERROR(IF(AND(ISNUMBER(N43),ISNUMBER(M43),N43&gt;0,M43&gt;0),(N43*M43)/1000,0),0)</f>
        <v>0</v>
      </c>
      <c r="W43" s="48"/>
      <c r="X43" s="32" t="n">
        <f aca="false">IFERROR(IF(ISBLANK(Q43),0,IF(ISNUMBER(SEARCH("Refrigerated",Q43)),2,IF(ISNUMBER(SEARCH("Frozen",Q43)),3.5,0))),0)</f>
        <v>0</v>
      </c>
      <c r="Y43" s="33" t="n">
        <f aca="false">IFERROR(P43+R43,0)</f>
        <v>0</v>
      </c>
      <c r="Z43" s="21"/>
      <c r="AA43" s="21"/>
      <c r="AB43" s="21"/>
      <c r="AC43" s="21"/>
      <c r="AD43" s="21"/>
    </row>
    <row r="44" customFormat="false" ht="19.5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 t="n">
        <f aca="false">IFERROR(I44*0.82,0)</f>
        <v>0</v>
      </c>
      <c r="O44" s="36" t="n">
        <f aca="false">IFERROR(I44*0.77,0)</f>
        <v>0</v>
      </c>
      <c r="P44" s="37" t="n">
        <f aca="false">IFERROR(I44*0.9,0)</f>
        <v>0</v>
      </c>
      <c r="Q44" s="38"/>
      <c r="R44" s="38"/>
      <c r="S44" s="38"/>
      <c r="T44" s="45"/>
      <c r="U44" s="46"/>
      <c r="V44" s="47" t="n">
        <f aca="false">IFERROR(IF(AND(ISNUMBER(N44),ISNUMBER(M44),N44&gt;0,M44&gt;0),(N44*M44)/1000,0),0)</f>
        <v>0</v>
      </c>
      <c r="W44" s="49"/>
      <c r="X44" s="43" t="n">
        <f aca="false">IFERROR(IF(ISBLANK(Q44),0,IF(ISNUMBER(SEARCH("Refrigerated",Q44)),2,IF(ISNUMBER(SEARCH("Frozen",Q44)),3.5,0))),0)</f>
        <v>0</v>
      </c>
      <c r="Y44" s="44" t="n">
        <f aca="false">IFERROR(P44+R44,0)</f>
        <v>0</v>
      </c>
      <c r="Z44" s="34"/>
      <c r="AA44" s="34"/>
      <c r="AB44" s="34"/>
      <c r="AC44" s="34"/>
      <c r="AD44" s="34"/>
    </row>
    <row r="45" customFormat="false" ht="19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2" t="n">
        <f aca="false">IFERROR(I45*0.82,0)</f>
        <v>0</v>
      </c>
      <c r="O45" s="23" t="n">
        <f aca="false">IFERROR(I45*0.77,0)</f>
        <v>0</v>
      </c>
      <c r="P45" s="24" t="n">
        <f aca="false">IFERROR(I45*0.9,0)</f>
        <v>0</v>
      </c>
      <c r="Q45" s="25"/>
      <c r="R45" s="26"/>
      <c r="S45" s="27"/>
      <c r="T45" s="45"/>
      <c r="U45" s="46"/>
      <c r="V45" s="47" t="n">
        <f aca="false">IFERROR(IF(AND(ISNUMBER(N45),ISNUMBER(M45),N45&gt;0,M45&gt;0),(N45*M45)/1000,0),0)</f>
        <v>0</v>
      </c>
      <c r="W45" s="48"/>
      <c r="X45" s="32" t="n">
        <f aca="false">IFERROR(IF(ISBLANK(Q45),0,IF(ISNUMBER(SEARCH("Refrigerated",Q45)),2,IF(ISNUMBER(SEARCH("Frozen",Q45)),3.5,0))),0)</f>
        <v>0</v>
      </c>
      <c r="Y45" s="33" t="n">
        <f aca="false">IFERROR(P45+R45,0)</f>
        <v>0</v>
      </c>
      <c r="Z45" s="21"/>
      <c r="AA45" s="21"/>
      <c r="AB45" s="21"/>
      <c r="AC45" s="21"/>
      <c r="AD45" s="21"/>
    </row>
    <row r="46" customFormat="false" ht="19.5" hidden="fals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 t="n">
        <f aca="false">IFERROR(I46*0.82,0)</f>
        <v>0</v>
      </c>
      <c r="O46" s="36" t="n">
        <f aca="false">IFERROR(I46*0.77,0)</f>
        <v>0</v>
      </c>
      <c r="P46" s="37" t="n">
        <f aca="false">IFERROR(I46*0.9,0)</f>
        <v>0</v>
      </c>
      <c r="Q46" s="38"/>
      <c r="R46" s="38"/>
      <c r="S46" s="38"/>
      <c r="T46" s="45"/>
      <c r="U46" s="46"/>
      <c r="V46" s="47" t="n">
        <f aca="false">IFERROR(IF(AND(ISNUMBER(N46),ISNUMBER(M46),N46&gt;0,M46&gt;0),(N46*M46)/1000,0),0)</f>
        <v>0</v>
      </c>
      <c r="W46" s="49"/>
      <c r="X46" s="43" t="n">
        <f aca="false">IFERROR(IF(ISBLANK(Q46),0,IF(ISNUMBER(SEARCH("Refrigerated",Q46)),2,IF(ISNUMBER(SEARCH("Frozen",Q46)),3.5,0))),0)</f>
        <v>0</v>
      </c>
      <c r="Y46" s="44" t="n">
        <f aca="false">IFERROR(P46+R46,0)</f>
        <v>0</v>
      </c>
      <c r="Z46" s="34"/>
      <c r="AA46" s="34"/>
      <c r="AB46" s="34"/>
      <c r="AC46" s="34"/>
      <c r="AD46" s="34"/>
    </row>
    <row r="47" customFormat="false" ht="19.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 t="n">
        <f aca="false">IFERROR(I47*0.82,0)</f>
        <v>0</v>
      </c>
      <c r="O47" s="23" t="n">
        <f aca="false">IFERROR(I47*0.77,0)</f>
        <v>0</v>
      </c>
      <c r="P47" s="24" t="n">
        <f aca="false">IFERROR(I47*0.9,0)</f>
        <v>0</v>
      </c>
      <c r="Q47" s="25"/>
      <c r="R47" s="26"/>
      <c r="S47" s="27"/>
      <c r="T47" s="45"/>
      <c r="U47" s="46"/>
      <c r="V47" s="47" t="n">
        <f aca="false">IFERROR(IF(AND(ISNUMBER(N47),ISNUMBER(M47),N47&gt;0,M47&gt;0),(N47*M47)/1000,0),0)</f>
        <v>0</v>
      </c>
      <c r="W47" s="48"/>
      <c r="X47" s="32" t="n">
        <f aca="false">IFERROR(IF(ISBLANK(Q47),0,IF(ISNUMBER(SEARCH("Refrigerated",Q47)),2,IF(ISNUMBER(SEARCH("Frozen",Q47)),3.5,0))),0)</f>
        <v>0</v>
      </c>
      <c r="Y47" s="33" t="n">
        <f aca="false">IFERROR(P47+R47,0)</f>
        <v>0</v>
      </c>
      <c r="Z47" s="21"/>
      <c r="AA47" s="21"/>
      <c r="AB47" s="21"/>
      <c r="AC47" s="21"/>
      <c r="AD47" s="21"/>
    </row>
    <row r="48" customFormat="false" ht="19.5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 t="n">
        <f aca="false">IFERROR(I48*0.82,0)</f>
        <v>0</v>
      </c>
      <c r="O48" s="36" t="n">
        <f aca="false">IFERROR(I48*0.77,0)</f>
        <v>0</v>
      </c>
      <c r="P48" s="37" t="n">
        <f aca="false">IFERROR(I48*0.9,0)</f>
        <v>0</v>
      </c>
      <c r="Q48" s="38"/>
      <c r="R48" s="38"/>
      <c r="S48" s="38"/>
      <c r="T48" s="45"/>
      <c r="U48" s="46"/>
      <c r="V48" s="47" t="n">
        <f aca="false">IFERROR(IF(AND(ISNUMBER(N48),ISNUMBER(M48),N48&gt;0,M48&gt;0),(N48*M48)/1000,0),0)</f>
        <v>0</v>
      </c>
      <c r="W48" s="49"/>
      <c r="X48" s="43" t="n">
        <f aca="false">IFERROR(IF(ISBLANK(Q48),0,IF(ISNUMBER(SEARCH("Refrigerated",Q48)),2,IF(ISNUMBER(SEARCH("Frozen",Q48)),3.5,0))),0)</f>
        <v>0</v>
      </c>
      <c r="Y48" s="44" t="n">
        <f aca="false">IFERROR(P48+R48,0)</f>
        <v>0</v>
      </c>
      <c r="Z48" s="34"/>
      <c r="AA48" s="34"/>
      <c r="AB48" s="34"/>
      <c r="AC48" s="34"/>
      <c r="AD48" s="34"/>
    </row>
    <row r="49" customFormat="false" ht="19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 t="n">
        <f aca="false">IFERROR(I49*0.82,0)</f>
        <v>0</v>
      </c>
      <c r="O49" s="23" t="n">
        <f aca="false">IFERROR(I49*0.77,0)</f>
        <v>0</v>
      </c>
      <c r="P49" s="24" t="n">
        <f aca="false">IFERROR(I49*0.9,0)</f>
        <v>0</v>
      </c>
      <c r="Q49" s="25"/>
      <c r="R49" s="26"/>
      <c r="S49" s="27"/>
      <c r="T49" s="45"/>
      <c r="U49" s="46"/>
      <c r="V49" s="47" t="n">
        <f aca="false">IFERROR(IF(AND(ISNUMBER(N49),ISNUMBER(M49),N49&gt;0,M49&gt;0),(N49*M49)/1000,0),0)</f>
        <v>0</v>
      </c>
      <c r="W49" s="48"/>
      <c r="X49" s="32" t="n">
        <f aca="false">IFERROR(IF(ISBLANK(Q49),0,IF(ISNUMBER(SEARCH("Refrigerated",Q49)),2,IF(ISNUMBER(SEARCH("Frozen",Q49)),3.5,0))),0)</f>
        <v>0</v>
      </c>
      <c r="Y49" s="33" t="n">
        <f aca="false">IFERROR(P49+R49,0)</f>
        <v>0</v>
      </c>
      <c r="Z49" s="21"/>
      <c r="AA49" s="21"/>
      <c r="AB49" s="21"/>
      <c r="AC49" s="21"/>
      <c r="AD49" s="21"/>
    </row>
    <row r="50" customFormat="false" ht="19.5" hidden="fals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 t="n">
        <f aca="false">IFERROR(I50*0.82,0)</f>
        <v>0</v>
      </c>
      <c r="O50" s="36" t="n">
        <f aca="false">IFERROR(I50*0.77,0)</f>
        <v>0</v>
      </c>
      <c r="P50" s="37" t="n">
        <f aca="false">IFERROR(I50*0.9,0)</f>
        <v>0</v>
      </c>
      <c r="Q50" s="38"/>
      <c r="R50" s="38"/>
      <c r="S50" s="38"/>
      <c r="T50" s="45"/>
      <c r="U50" s="46"/>
      <c r="V50" s="47" t="n">
        <f aca="false">IFERROR(IF(AND(ISNUMBER(N50),ISNUMBER(M50),N50&gt;0,M50&gt;0),(N50*M50)/1000,0),0)</f>
        <v>0</v>
      </c>
      <c r="W50" s="49"/>
      <c r="X50" s="43" t="n">
        <f aca="false">IFERROR(IF(ISBLANK(Q50),0,IF(ISNUMBER(SEARCH("Refrigerated",Q50)),2,IF(ISNUMBER(SEARCH("Frozen",Q50)),3.5,0))),0)</f>
        <v>0</v>
      </c>
      <c r="Y50" s="44" t="n">
        <f aca="false">IFERROR(P50+R50,0)</f>
        <v>0</v>
      </c>
      <c r="Z50" s="34"/>
      <c r="AA50" s="34"/>
      <c r="AB50" s="34"/>
      <c r="AC50" s="34"/>
      <c r="AD50" s="34"/>
    </row>
    <row r="51" customFormat="false" ht="19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 t="n">
        <f aca="false">IFERROR(I51*0.82,0)</f>
        <v>0</v>
      </c>
      <c r="O51" s="23" t="n">
        <f aca="false">IFERROR(I51*0.77,0)</f>
        <v>0</v>
      </c>
      <c r="P51" s="24" t="n">
        <f aca="false">IFERROR(I51*0.9,0)</f>
        <v>0</v>
      </c>
      <c r="Q51" s="25"/>
      <c r="R51" s="26"/>
      <c r="S51" s="27"/>
      <c r="T51" s="45"/>
      <c r="U51" s="46"/>
      <c r="V51" s="47" t="n">
        <f aca="false">IFERROR(IF(AND(ISNUMBER(N51),ISNUMBER(M51),N51&gt;0,M51&gt;0),(N51*M51)/1000,0),0)</f>
        <v>0</v>
      </c>
      <c r="W51" s="48"/>
      <c r="X51" s="32" t="n">
        <f aca="false">IFERROR(IF(ISBLANK(Q51),0,IF(ISNUMBER(SEARCH("Refrigerated",Q51)),2,IF(ISNUMBER(SEARCH("Frozen",Q51)),3.5,0))),0)</f>
        <v>0</v>
      </c>
      <c r="Y51" s="33" t="n">
        <f aca="false">IFERROR(P51+R51,0)</f>
        <v>0</v>
      </c>
      <c r="Z51" s="21"/>
      <c r="AA51" s="21"/>
      <c r="AB51" s="21"/>
      <c r="AC51" s="21"/>
      <c r="AD51" s="21"/>
    </row>
    <row r="52" customFormat="false" ht="19.5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5" t="n">
        <f aca="false">IFERROR(I52*0.82,0)</f>
        <v>0</v>
      </c>
      <c r="O52" s="36" t="n">
        <f aca="false">IFERROR(I52*0.77,0)</f>
        <v>0</v>
      </c>
      <c r="P52" s="37" t="n">
        <f aca="false">IFERROR(I52*0.9,0)</f>
        <v>0</v>
      </c>
      <c r="Q52" s="38"/>
      <c r="R52" s="38"/>
      <c r="S52" s="38"/>
      <c r="T52" s="45"/>
      <c r="U52" s="46"/>
      <c r="V52" s="47" t="n">
        <f aca="false">IFERROR(IF(AND(ISNUMBER(N52),ISNUMBER(M52),N52&gt;0,M52&gt;0),(N52*M52)/1000,0),0)</f>
        <v>0</v>
      </c>
      <c r="W52" s="49"/>
      <c r="X52" s="43" t="n">
        <f aca="false">IFERROR(IF(ISBLANK(Q52),0,IF(ISNUMBER(SEARCH("Refrigerated",Q52)),2,IF(ISNUMBER(SEARCH("Frozen",Q52)),3.5,0))),0)</f>
        <v>0</v>
      </c>
      <c r="Y52" s="44" t="n">
        <f aca="false">IFERROR(P52+R52,0)</f>
        <v>0</v>
      </c>
      <c r="Z52" s="34"/>
      <c r="AA52" s="34"/>
      <c r="AB52" s="34"/>
      <c r="AC52" s="34"/>
      <c r="AD52" s="34"/>
    </row>
    <row r="53" customFormat="false" ht="19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 t="n">
        <f aca="false">IFERROR(I53*0.82,0)</f>
        <v>0</v>
      </c>
      <c r="O53" s="23" t="n">
        <f aca="false">IFERROR(I53*0.77,0)</f>
        <v>0</v>
      </c>
      <c r="P53" s="24" t="n">
        <f aca="false">IFERROR(I53*0.9,0)</f>
        <v>0</v>
      </c>
      <c r="Q53" s="25"/>
      <c r="R53" s="26"/>
      <c r="S53" s="27"/>
      <c r="T53" s="45"/>
      <c r="U53" s="46"/>
      <c r="V53" s="47" t="n">
        <f aca="false">IFERROR(IF(AND(ISNUMBER(N53),ISNUMBER(M53),N53&gt;0,M53&gt;0),(N53*M53)/1000,0),0)</f>
        <v>0</v>
      </c>
      <c r="W53" s="48"/>
      <c r="X53" s="32" t="n">
        <f aca="false">IFERROR(IF(ISBLANK(Q53),0,IF(ISNUMBER(SEARCH("Refrigerated",Q53)),2,IF(ISNUMBER(SEARCH("Frozen",Q53)),3.5,0))),0)</f>
        <v>0</v>
      </c>
      <c r="Y53" s="33" t="n">
        <f aca="false">IFERROR(P53+R53,0)</f>
        <v>0</v>
      </c>
      <c r="Z53" s="21"/>
      <c r="AA53" s="21"/>
      <c r="AB53" s="21"/>
      <c r="AC53" s="21"/>
      <c r="AD53" s="21"/>
    </row>
    <row r="54" customFormat="false" ht="19.5" hidden="fals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5" t="n">
        <f aca="false">IFERROR(I54*0.82,0)</f>
        <v>0</v>
      </c>
      <c r="O54" s="36" t="n">
        <f aca="false">IFERROR(I54*0.77,0)</f>
        <v>0</v>
      </c>
      <c r="P54" s="37" t="n">
        <f aca="false">IFERROR(I54*0.9,0)</f>
        <v>0</v>
      </c>
      <c r="Q54" s="38"/>
      <c r="R54" s="38"/>
      <c r="S54" s="38"/>
      <c r="T54" s="45"/>
      <c r="U54" s="46"/>
      <c r="V54" s="47" t="n">
        <f aca="false">IFERROR(IF(AND(ISNUMBER(N54),ISNUMBER(M54),N54&gt;0,M54&gt;0),(N54*M54)/1000,0),0)</f>
        <v>0</v>
      </c>
      <c r="W54" s="49"/>
      <c r="X54" s="43" t="n">
        <f aca="false">IFERROR(IF(ISBLANK(Q54),0,IF(ISNUMBER(SEARCH("Refrigerated",Q54)),2,IF(ISNUMBER(SEARCH("Frozen",Q54)),3.5,0))),0)</f>
        <v>0</v>
      </c>
      <c r="Y54" s="44" t="n">
        <f aca="false">IFERROR(P54+R54,0)</f>
        <v>0</v>
      </c>
      <c r="Z54" s="34"/>
      <c r="AA54" s="34"/>
      <c r="AB54" s="34"/>
      <c r="AC54" s="34"/>
      <c r="AD54" s="34"/>
    </row>
    <row r="55" customFormat="false" ht="19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 t="n">
        <f aca="false">IFERROR(I55*0.82,0)</f>
        <v>0</v>
      </c>
      <c r="O55" s="23" t="n">
        <f aca="false">IFERROR(I55*0.77,0)</f>
        <v>0</v>
      </c>
      <c r="P55" s="24" t="n">
        <f aca="false">IFERROR(I55*0.9,0)</f>
        <v>0</v>
      </c>
      <c r="Q55" s="25"/>
      <c r="R55" s="26"/>
      <c r="S55" s="27"/>
      <c r="T55" s="45"/>
      <c r="U55" s="46"/>
      <c r="V55" s="47" t="n">
        <f aca="false">IFERROR(IF(AND(ISNUMBER(N55),ISNUMBER(M55),N55&gt;0,M55&gt;0),(N55*M55)/1000,0),0)</f>
        <v>0</v>
      </c>
      <c r="W55" s="48"/>
      <c r="X55" s="32" t="n">
        <f aca="false">IFERROR(IF(ISBLANK(Q55),0,IF(ISNUMBER(SEARCH("Refrigerated",Q55)),2,IF(ISNUMBER(SEARCH("Frozen",Q55)),3.5,0))),0)</f>
        <v>0</v>
      </c>
      <c r="Y55" s="33" t="n">
        <f aca="false">IFERROR(P55+R55,0)</f>
        <v>0</v>
      </c>
      <c r="Z55" s="21"/>
      <c r="AA55" s="21"/>
      <c r="AB55" s="21"/>
      <c r="AC55" s="21"/>
      <c r="AD55" s="21"/>
    </row>
    <row r="56" customFormat="false" ht="19.5" hidden="fals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5" t="n">
        <f aca="false">IFERROR(I56*0.82,0)</f>
        <v>0</v>
      </c>
      <c r="O56" s="36" t="n">
        <f aca="false">IFERROR(I56*0.77,0)</f>
        <v>0</v>
      </c>
      <c r="P56" s="37" t="n">
        <f aca="false">IFERROR(I56*0.9,0)</f>
        <v>0</v>
      </c>
      <c r="Q56" s="38"/>
      <c r="R56" s="38"/>
      <c r="S56" s="38"/>
      <c r="T56" s="45"/>
      <c r="U56" s="46"/>
      <c r="V56" s="47" t="n">
        <f aca="false">IFERROR(IF(AND(ISNUMBER(N56),ISNUMBER(M56),N56&gt;0,M56&gt;0),(N56*M56)/1000,0),0)</f>
        <v>0</v>
      </c>
      <c r="W56" s="49"/>
      <c r="X56" s="43" t="n">
        <f aca="false">IFERROR(IF(ISBLANK(Q56),0,IF(ISNUMBER(SEARCH("Refrigerated",Q56)),2,IF(ISNUMBER(SEARCH("Frozen",Q56)),3.5,0))),0)</f>
        <v>0</v>
      </c>
      <c r="Y56" s="44" t="n">
        <f aca="false">IFERROR(P56+R56,0)</f>
        <v>0</v>
      </c>
      <c r="Z56" s="34"/>
      <c r="AA56" s="34"/>
      <c r="AB56" s="34"/>
      <c r="AC56" s="34"/>
      <c r="AD56" s="34"/>
    </row>
    <row r="57" customFormat="false" ht="15" hidden="false" customHeight="true" outlineLevel="0" collapsed="false">
      <c r="V57" s="61" t="n">
        <f aca="false">IFERROR(IF(AND(ISNUMBER(N57),ISNUMBER(M57),N57&gt;0,M57&gt;0),(N57*M57)/1000,0),0)</f>
        <v>0</v>
      </c>
      <c r="X57" s="62" t="n">
        <f aca="false">IFERROR(IF(ISBLANK(Q57),0,IF(ISNUMBER(SEARCH("Refrigerated",Q57)),2,IF(ISNUMBER(SEARCH("Frozen",Q57)),3.5,0))),0)</f>
        <v>0</v>
      </c>
      <c r="Y57" s="61" t="n">
        <f aca="false">IFERROR(P57+R57,0)</f>
        <v>0</v>
      </c>
    </row>
    <row r="58" customFormat="false" ht="15" hidden="false" customHeight="true" outlineLevel="0" collapsed="false">
      <c r="V58" s="61" t="n">
        <f aca="false">IFERROR(IF(AND(ISNUMBER(N58),ISNUMBER(M58),N58&gt;0,M58&gt;0),(N58*M58)/1000,0),0)</f>
        <v>0</v>
      </c>
      <c r="X58" s="62" t="n">
        <f aca="false">IFERROR(IF(ISBLANK(Q58),0,IF(ISNUMBER(SEARCH("Refrigerated",Q58)),2,IF(ISNUMBER(SEARCH("Frozen",Q58)),3.5,0))),0)</f>
        <v>0</v>
      </c>
      <c r="Y58" s="61" t="n">
        <f aca="false">IFERROR(P58+R58,0)</f>
        <v>0</v>
      </c>
    </row>
    <row r="59" customFormat="false" ht="15" hidden="false" customHeight="true" outlineLevel="0" collapsed="false">
      <c r="V59" s="61" t="n">
        <f aca="false">IFERROR(IF(AND(ISNUMBER(N59),ISNUMBER(M59),N59&gt;0,M59&gt;0),(N59*M59)/1000,0),0)</f>
        <v>0</v>
      </c>
      <c r="X59" s="62" t="n">
        <f aca="false">IFERROR(IF(ISBLANK(Q59),0,IF(ISNUMBER(SEARCH("Refrigerated",Q59)),2,IF(ISNUMBER(SEARCH("Frozen",Q59)),3.5,0))),0)</f>
        <v>0</v>
      </c>
      <c r="Y59" s="61" t="n">
        <f aca="false">IFERROR(P59+R59,0)</f>
        <v>0</v>
      </c>
    </row>
    <row r="60" customFormat="false" ht="15" hidden="false" customHeight="true" outlineLevel="0" collapsed="false">
      <c r="V60" s="61" t="n">
        <f aca="false">IFERROR(IF(AND(ISNUMBER(N60),ISNUMBER(M60),N60&gt;0,M60&gt;0),(N60*M60)/1000,0),0)</f>
        <v>0</v>
      </c>
      <c r="X60" s="62" t="n">
        <f aca="false">IFERROR(IF(ISBLANK(Q60),0,IF(ISNUMBER(SEARCH("Refrigerated",Q60)),2,IF(ISNUMBER(SEARCH("Frozen",Q60)),3.5,0))),0)</f>
        <v>0</v>
      </c>
      <c r="Y60" s="61" t="n">
        <f aca="false">IFERROR(P60+R60,0)</f>
        <v>0</v>
      </c>
    </row>
  </sheetData>
  <mergeCells count="6">
    <mergeCell ref="A1:R1"/>
    <mergeCell ref="A2:R2"/>
    <mergeCell ref="A3:R3"/>
    <mergeCell ref="A4:R4"/>
    <mergeCell ref="A21:P21"/>
    <mergeCell ref="A32:P32"/>
  </mergeCells>
  <dataValidations count="7">
    <dataValidation allowBlank="false" errorStyle="stop" operator="between" showDropDown="false" showErrorMessage="false" showInputMessage="false" sqref="E7:E56" type="list">
      <formula1>"OTC,Schedule G,Schedule H,Schedule H1,Schedule X,NDPS"</formula1>
      <formula2>0</formula2>
    </dataValidation>
    <dataValidation allowBlank="false" errorStyle="stop" operator="between" showDropDown="false" showErrorMessage="false" showInputMessage="false" sqref="F7:F56" type="list">
      <formula1>"Tablet,Capsule,Syrup,Suspension,Injection,Cream,Ointment,Drops,Inhaler,Patch,Powder,Gel,Lotion,Spray"</formula1>
      <formula2>0</formula2>
    </dataValidation>
    <dataValidation allowBlank="false" errorStyle="stop" operator="between" showDropDown="false" showErrorMessage="false" showInputMessage="false" sqref="K7:K56" type="list">
      <formula1>"0,5,12,18"</formula1>
      <formula2>0</formula2>
    </dataValidation>
    <dataValidation allowBlank="false" errorStyle="stop" operator="between" showDropDown="false" showErrorMessage="false" showInputMessage="false" sqref="D7:D56" type="list">
      <formula1>"Diabetic,Cardiac,Antibiotic,Vitamins,OTC Pain,Gastric,Allergy,Paediatric,Dermatology,Neurology,Gynaecology,Urology,Orthopaedic,Ophthalmology,ENT,Respiratory,Oncology,Other"</formula1>
      <formula2>0</formula2>
    </dataValidation>
    <dataValidation allowBlank="true" error="Enter weight in grams (0–50000) or leave blank" errorStyle="stop" errorTitle="Invalid weight" operator="between" prompt="Enter the weight of ONE unit/strip/vial/pack in grams.&#10;Weigh it on a kitchen scale.&#10;Example: a strip of 15 tablets ≈ 30–40g" promptTitle="Unit weight (grams)" showDropDown="false" showErrorMessage="true" showInputMessage="true" sqref="N7:N56" type="decimal">
      <formula1>0</formula1>
      <formula2>50</formula2>
    </dataValidation>
    <dataValidation allowBlank="true" error="Enter min consignment weight in kg (e.g. 2.0 to 5.0). Leave blank for non-cold-chain items." errorStyle="stop" errorTitle="Invalid consignment weight" operator="between" prompt="For cold chain medicines ONLY:&#10;Minimum weight per consignment in kg.&#10;Typically 2 kg to 5 kg.&#10;Leave BLANK for regular (non-cold) medicines." promptTitle="Cold chain min consignment (kg)" showDropDown="false" showErrorMessage="true" showInputMessage="true" sqref="O7:O56" type="decimal">
      <formula1>0</formula1>
      <formula2>50</formula2>
    </dataValidation>
    <dataValidation allowBlank="false" errorStyle="stop" operator="between" prompt="Select the storage condition for this medicine:&#10;• Room Temperature (15–30°C) — most tablets, capsules → coolant: 0kg&#10;• Cool &amp; Dry (below 25°C) — some syrups, creams → coolant: 0kg&#10;• Controlled Room Temp (20–25°C) — sensitive tablets → coolant: 0kg&#10;• Refri" promptTitle="Storage condition" showDropDown="false" showErrorMessage="false" showInputMessage="true" sqref="Q7:Q56" type="list">
      <formula1>"Room Temperature (15–30°C),Cool &amp; Dry (below 25°C),Controlled Room Temp (20–25°C),Refrigerated (2–8°C),Frozen (below -15°C)"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22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26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3" min="13" style="1" width="26"/>
  </cols>
  <sheetData>
    <row r="1" customFormat="false" ht="39.75" hidden="false" customHeight="true" outlineLevel="0" collapsed="false">
      <c r="A1" s="2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3" t="s">
        <v>210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8" hidden="false" customHeight="true" outlineLevel="0" collapsed="false">
      <c r="A3" s="4" t="s">
        <v>211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23.25" hidden="false" customHeight="true" outlineLevel="0" collapsed="false">
      <c r="A5" s="6" t="s">
        <v>6</v>
      </c>
      <c r="B5" s="6" t="s">
        <v>212</v>
      </c>
      <c r="C5" s="6" t="s">
        <v>213</v>
      </c>
      <c r="D5" s="6" t="s">
        <v>214</v>
      </c>
      <c r="E5" s="6" t="s">
        <v>215</v>
      </c>
      <c r="F5" s="6" t="s">
        <v>216</v>
      </c>
      <c r="G5" s="7" t="s">
        <v>217</v>
      </c>
      <c r="H5" s="7" t="s">
        <v>218</v>
      </c>
      <c r="I5" s="7" t="s">
        <v>219</v>
      </c>
      <c r="J5" s="7" t="s">
        <v>220</v>
      </c>
      <c r="K5" s="7" t="s">
        <v>221</v>
      </c>
      <c r="L5" s="7" t="s">
        <v>222</v>
      </c>
      <c r="M5" s="7" t="s">
        <v>223</v>
      </c>
    </row>
    <row r="6" customFormat="false" ht="19.5" hidden="false" customHeight="true" outlineLevel="0" collapsed="false">
      <c r="A6" s="15" t="s">
        <v>224</v>
      </c>
      <c r="B6" s="15" t="s">
        <v>225</v>
      </c>
      <c r="C6" s="15" t="s">
        <v>226</v>
      </c>
      <c r="D6" s="15" t="s">
        <v>227</v>
      </c>
      <c r="E6" s="15" t="s">
        <v>228</v>
      </c>
      <c r="F6" s="15" t="s">
        <v>229</v>
      </c>
      <c r="G6" s="15" t="s">
        <v>230</v>
      </c>
      <c r="H6" s="15" t="s">
        <v>231</v>
      </c>
      <c r="I6" s="15" t="s">
        <v>232</v>
      </c>
      <c r="J6" s="15" t="s">
        <v>233</v>
      </c>
      <c r="K6" s="15" t="s">
        <v>234</v>
      </c>
      <c r="L6" s="15" t="s">
        <v>235</v>
      </c>
      <c r="M6" s="15" t="s">
        <v>236</v>
      </c>
    </row>
    <row r="7" customFormat="false" ht="19.5" hidden="false" customHeight="true" outlineLevel="0" collapsed="false">
      <c r="A7" s="21" t="s">
        <v>66</v>
      </c>
      <c r="B7" s="21" t="s">
        <v>64</v>
      </c>
      <c r="C7" s="21" t="s">
        <v>237</v>
      </c>
      <c r="D7" s="21" t="n">
        <v>500</v>
      </c>
      <c r="E7" s="21" t="s">
        <v>238</v>
      </c>
      <c r="F7" s="21" t="n">
        <v>18.5</v>
      </c>
      <c r="G7" s="21" t="s">
        <v>239</v>
      </c>
      <c r="H7" s="21" t="s">
        <v>240</v>
      </c>
      <c r="I7" s="21" t="s">
        <v>241</v>
      </c>
      <c r="J7" s="21" t="s">
        <v>242</v>
      </c>
      <c r="K7" s="21" t="s">
        <v>243</v>
      </c>
      <c r="L7" s="21" t="s">
        <v>75</v>
      </c>
      <c r="M7" s="21" t="s">
        <v>244</v>
      </c>
    </row>
    <row r="8" customFormat="false" ht="19.5" hidden="false" customHeight="true" outlineLevel="0" collapsed="false">
      <c r="A8" s="34" t="s">
        <v>82</v>
      </c>
      <c r="B8" s="34" t="s">
        <v>80</v>
      </c>
      <c r="C8" s="34" t="s">
        <v>245</v>
      </c>
      <c r="D8" s="34" t="n">
        <v>24</v>
      </c>
      <c r="E8" s="34" t="s">
        <v>246</v>
      </c>
      <c r="F8" s="34" t="n">
        <v>320</v>
      </c>
      <c r="G8" s="34" t="s">
        <v>247</v>
      </c>
      <c r="H8" s="34" t="s">
        <v>248</v>
      </c>
      <c r="I8" s="34" t="s">
        <v>249</v>
      </c>
      <c r="J8" s="34" t="s">
        <v>250</v>
      </c>
      <c r="K8" s="34" t="s">
        <v>251</v>
      </c>
      <c r="L8" s="34" t="s">
        <v>79</v>
      </c>
      <c r="M8" s="34" t="s">
        <v>252</v>
      </c>
    </row>
    <row r="9" customFormat="false" ht="19.5" hidden="false" customHeight="true" outlineLevel="0" collapsed="false">
      <c r="A9" s="21" t="s">
        <v>92</v>
      </c>
      <c r="B9" s="21" t="s">
        <v>90</v>
      </c>
      <c r="C9" s="21" t="s">
        <v>253</v>
      </c>
      <c r="D9" s="21" t="n">
        <v>120</v>
      </c>
      <c r="E9" s="21" t="s">
        <v>254</v>
      </c>
      <c r="F9" s="21" t="n">
        <v>28</v>
      </c>
      <c r="G9" s="21" t="s">
        <v>255</v>
      </c>
      <c r="H9" s="21" t="s">
        <v>240</v>
      </c>
      <c r="I9" s="21" t="s">
        <v>256</v>
      </c>
      <c r="J9" s="21" t="s">
        <v>257</v>
      </c>
      <c r="K9" s="21" t="s">
        <v>258</v>
      </c>
      <c r="L9" s="21" t="s">
        <v>75</v>
      </c>
      <c r="M9" s="21"/>
    </row>
    <row r="10" customFormat="false" ht="19.5" hidden="false" customHeight="true" outlineLevel="0" collapsed="false">
      <c r="A10" s="34" t="s">
        <v>100</v>
      </c>
      <c r="B10" s="34" t="s">
        <v>98</v>
      </c>
      <c r="C10" s="34" t="s">
        <v>259</v>
      </c>
      <c r="D10" s="34" t="n">
        <v>360</v>
      </c>
      <c r="E10" s="34" t="s">
        <v>260</v>
      </c>
      <c r="F10" s="34" t="n">
        <v>38</v>
      </c>
      <c r="G10" s="34" t="s">
        <v>261</v>
      </c>
      <c r="H10" s="34" t="s">
        <v>262</v>
      </c>
      <c r="I10" s="34" t="s">
        <v>263</v>
      </c>
      <c r="J10" s="34" t="s">
        <v>264</v>
      </c>
      <c r="K10" s="34" t="s">
        <v>265</v>
      </c>
      <c r="L10" s="34" t="s">
        <v>75</v>
      </c>
      <c r="M10" s="34"/>
    </row>
    <row r="11" customFormat="false" ht="19.5" hidden="false" customHeight="true" outlineLevel="0" collapsed="false">
      <c r="A11" s="21" t="s">
        <v>113</v>
      </c>
      <c r="B11" s="21" t="s">
        <v>111</v>
      </c>
      <c r="C11" s="21" t="s">
        <v>266</v>
      </c>
      <c r="D11" s="21" t="n">
        <v>200</v>
      </c>
      <c r="E11" s="21" t="s">
        <v>267</v>
      </c>
      <c r="F11" s="21" t="n">
        <v>22</v>
      </c>
      <c r="G11" s="21" t="s">
        <v>268</v>
      </c>
      <c r="H11" s="21" t="s">
        <v>240</v>
      </c>
      <c r="I11" s="21" t="s">
        <v>269</v>
      </c>
      <c r="J11" s="21" t="s">
        <v>270</v>
      </c>
      <c r="K11" s="21" t="s">
        <v>271</v>
      </c>
      <c r="L11" s="21" t="s">
        <v>75</v>
      </c>
      <c r="M11" s="21"/>
    </row>
    <row r="12" customFormat="false" ht="19.5" hidden="false" customHeight="true" outlineLevel="0" collapsed="false">
      <c r="A12" s="34" t="s">
        <v>123</v>
      </c>
      <c r="B12" s="34" t="s">
        <v>121</v>
      </c>
      <c r="C12" s="34" t="s">
        <v>272</v>
      </c>
      <c r="D12" s="34" t="n">
        <v>800</v>
      </c>
      <c r="E12" s="34" t="s">
        <v>273</v>
      </c>
      <c r="F12" s="34" t="n">
        <v>8</v>
      </c>
      <c r="G12" s="34" t="s">
        <v>274</v>
      </c>
      <c r="H12" s="34" t="s">
        <v>275</v>
      </c>
      <c r="I12" s="34" t="s">
        <v>276</v>
      </c>
      <c r="J12" s="34" t="s">
        <v>277</v>
      </c>
      <c r="K12" s="34" t="s">
        <v>278</v>
      </c>
      <c r="L12" s="34" t="s">
        <v>75</v>
      </c>
      <c r="M12" s="34" t="s">
        <v>279</v>
      </c>
    </row>
    <row r="13" customFormat="false" ht="19.5" hidden="false" customHeight="true" outlineLevel="0" collapsed="false">
      <c r="A13" s="21" t="s">
        <v>130</v>
      </c>
      <c r="B13" s="21" t="s">
        <v>128</v>
      </c>
      <c r="C13" s="21" t="s">
        <v>280</v>
      </c>
      <c r="D13" s="21" t="n">
        <v>180</v>
      </c>
      <c r="E13" s="21" t="s">
        <v>281</v>
      </c>
      <c r="F13" s="21" t="n">
        <v>15</v>
      </c>
      <c r="G13" s="21" t="s">
        <v>247</v>
      </c>
      <c r="H13" s="21" t="s">
        <v>248</v>
      </c>
      <c r="I13" s="21" t="s">
        <v>282</v>
      </c>
      <c r="J13" s="21" t="s">
        <v>283</v>
      </c>
      <c r="K13" s="21" t="s">
        <v>284</v>
      </c>
      <c r="L13" s="21" t="s">
        <v>75</v>
      </c>
      <c r="M13" s="21"/>
    </row>
    <row r="14" customFormat="false" ht="19.5" hidden="false" customHeight="true" outlineLevel="0" collapsed="false">
      <c r="A14" s="34" t="s">
        <v>143</v>
      </c>
      <c r="B14" s="34" t="s">
        <v>141</v>
      </c>
      <c r="C14" s="34" t="s">
        <v>285</v>
      </c>
      <c r="D14" s="34" t="n">
        <v>150</v>
      </c>
      <c r="E14" s="34" t="s">
        <v>286</v>
      </c>
      <c r="F14" s="34" t="n">
        <v>18</v>
      </c>
      <c r="G14" s="34" t="s">
        <v>255</v>
      </c>
      <c r="H14" s="34" t="s">
        <v>240</v>
      </c>
      <c r="I14" s="34" t="s">
        <v>287</v>
      </c>
      <c r="J14" s="34" t="s">
        <v>288</v>
      </c>
      <c r="K14" s="34" t="s">
        <v>289</v>
      </c>
      <c r="L14" s="34" t="s">
        <v>75</v>
      </c>
      <c r="M14" s="34" t="s">
        <v>290</v>
      </c>
    </row>
    <row r="15" customFormat="false" ht="19.5" hidden="false" customHeight="true" outlineLevel="0" collapsed="false">
      <c r="A15" s="21" t="s">
        <v>150</v>
      </c>
      <c r="B15" s="21" t="s">
        <v>148</v>
      </c>
      <c r="C15" s="21" t="s">
        <v>291</v>
      </c>
      <c r="D15" s="21" t="n">
        <v>240</v>
      </c>
      <c r="E15" s="21" t="s">
        <v>292</v>
      </c>
      <c r="F15" s="21" t="n">
        <v>21</v>
      </c>
      <c r="G15" s="21" t="s">
        <v>268</v>
      </c>
      <c r="H15" s="21" t="s">
        <v>248</v>
      </c>
      <c r="I15" s="21" t="s">
        <v>293</v>
      </c>
      <c r="J15" s="21" t="s">
        <v>294</v>
      </c>
      <c r="K15" s="21" t="s">
        <v>295</v>
      </c>
      <c r="L15" s="21" t="s">
        <v>75</v>
      </c>
      <c r="M15" s="21"/>
    </row>
    <row r="16" customFormat="false" ht="19.5" hidden="false" customHeight="true" outlineLevel="0" collapsed="false">
      <c r="A16" s="34" t="s">
        <v>158</v>
      </c>
      <c r="B16" s="34" t="s">
        <v>156</v>
      </c>
      <c r="C16" s="34" t="s">
        <v>296</v>
      </c>
      <c r="D16" s="34" t="n">
        <v>300</v>
      </c>
      <c r="E16" s="34" t="s">
        <v>297</v>
      </c>
      <c r="F16" s="34" t="n">
        <v>10</v>
      </c>
      <c r="G16" s="34" t="s">
        <v>247</v>
      </c>
      <c r="H16" s="34" t="s">
        <v>275</v>
      </c>
      <c r="I16" s="34" t="s">
        <v>298</v>
      </c>
      <c r="J16" s="34" t="s">
        <v>299</v>
      </c>
      <c r="K16" s="34" t="s">
        <v>300</v>
      </c>
      <c r="L16" s="34" t="s">
        <v>75</v>
      </c>
      <c r="M16" s="34"/>
    </row>
    <row r="17" customFormat="false" ht="19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customFormat="false" ht="19.5" hidden="false" customHeight="tru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customFormat="false" ht="19.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customFormat="false" ht="19.5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customFormat="false" ht="19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customFormat="false" ht="19.5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customFormat="false" ht="19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9.5" hidden="fals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customFormat="false" ht="19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customFormat="false" ht="19.5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customFormat="false" ht="19.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customFormat="false" ht="19.5" hidden="fals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customFormat="false" ht="19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customFormat="false" ht="19.5" hidden="fals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customFormat="false" ht="19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customFormat="false" ht="19.5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customFormat="false" ht="19.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customFormat="false" ht="19.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customFormat="false" ht="19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customFormat="false" ht="19.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customFormat="false" ht="19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customFormat="false" ht="19.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customFormat="false" ht="19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customFormat="false" ht="19.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customFormat="false" ht="19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customFormat="false" ht="19.5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customFormat="false" ht="19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customFormat="false" ht="19.5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customFormat="false" ht="19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customFormat="false" ht="19.5" hidden="fals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customFormat="false" ht="19.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customFormat="false" ht="19.5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customFormat="false" ht="19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customFormat="false" ht="19.5" hidden="fals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customFormat="false" ht="19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customFormat="false" ht="19.5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customFormat="false" ht="19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customFormat="false" ht="19.5" hidden="fals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customFormat="false" ht="19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customFormat="false" ht="19.5" hidden="fals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customFormat="false" ht="19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customFormat="false" ht="19.5" hidden="fals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customFormat="false" ht="19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customFormat="false" ht="19.5" hidden="fals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customFormat="false" ht="19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customFormat="false" ht="19.5" hidden="fals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customFormat="false" ht="19.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customFormat="false" ht="19.5" hidden="fals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customFormat="false" ht="19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customFormat="false" ht="19.5" hidden="fals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8" customFormat="false" ht="15" hidden="false" customHeight="true" outlineLevel="0" collapsed="false">
      <c r="A68" s="63" t="s">
        <v>301</v>
      </c>
      <c r="B68" s="63"/>
      <c r="C68" s="63"/>
      <c r="D68" s="64" t="n">
        <f aca="false">SUMPRODUCT(D7:D67,F7:F67)</f>
        <v>58210</v>
      </c>
    </row>
  </sheetData>
  <mergeCells count="5">
    <mergeCell ref="A1:M1"/>
    <mergeCell ref="A2:M2"/>
    <mergeCell ref="A3:M3"/>
    <mergeCell ref="A4:M4"/>
    <mergeCell ref="A68:C68"/>
  </mergeCells>
  <dataValidations count="1">
    <dataValidation allowBlank="false" errorStyle="stop" operator="between" showDropDown="false" showErrorMessage="false" showInputMessage="false" sqref="L7:L6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2026-03-29T14:01:13Z</dcterms:created>
  <dc:creator>openpyxl</dc:creator>
  <dc:description/>
  <dc:language>en-US</dc:language>
  <cp:lastModifiedBy/>
  <dcterms:modified xsi:type="dcterms:W3CDTF">2026-04-01T14:07:43Z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